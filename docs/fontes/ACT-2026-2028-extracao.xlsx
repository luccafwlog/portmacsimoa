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Leia-me" sheetId="1" state="visible" r:id="rId3"/>
    <sheet name="01 Anexo I Taxas" sheetId="2" state="visible" r:id="rId4"/>
    <sheet name="02 Anexo II Equipes" sheetId="3" state="visible" r:id="rId5"/>
    <sheet name="03 Adicionais Jornada" sheetId="4" state="visible" r:id="rId6"/>
    <sheet name="04 Regra por Faina" sheetId="5" state="visible" r:id="rId7"/>
    <sheet name="05 Achados e Dúvid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<sst xmlns="http://schemas.openxmlformats.org/spreadsheetml/2006/main" count="665" uniqueCount="229">
  <si>
    <t xml:space="preserve">ACT 2026/2028 — PORTMAC × SETEMEES e Sindicato dos Conferentes</t>
  </si>
  <si>
    <t xml:space="preserve">Extração integral do documento assinado em 02/06/2026 (17 páginas, PDF digitalizado).</t>
  </si>
  <si>
    <t xml:space="preserve">FONTE ÚNICA</t>
  </si>
  <si>
    <t xml:space="preserve">Arquivo: ACT_estiva_e_conferentes.pdf — Acordo Coletivo de Trabalho 2026/2028.</t>
  </si>
  <si>
    <t xml:space="preserve">Vigência: da assinatura (02/06/2026) até 30/06/2028. Data-base: 1º de junho.</t>
  </si>
  <si>
    <t xml:space="preserve">Cláusula 5ª: a remuneração segue a Tabela do ANEXO I. Cláusula 13ª e Anexo Conferentes 3-E:</t>
  </si>
  <si>
    <t xml:space="preserve">cargas não previstas neste ACT são regidas pela CCT — logo, ficam FORA do simulador.</t>
  </si>
  <si>
    <t xml:space="preserve">O QUE ESTE ARQUIVO CONTÉM</t>
  </si>
  <si>
    <t xml:space="preserve">01 Anexo I Taxas ......... tabela de taxas e salários, valor a valor, como está no documento</t>
  </si>
  <si>
    <t xml:space="preserve">02 Anexo II Equipes ...... composição das equipes de referência e cotas por função</t>
  </si>
  <si>
    <t xml:space="preserve">03 Adicionais Jornada .... cláusula 6ª: noturno, sábado, domingo e feriado</t>
  </si>
  <si>
    <t xml:space="preserve">04 Regra por Faina ....... a regra de cálculo de cada faina, derivada das cláusulas</t>
  </si>
  <si>
    <t xml:space="preserve">05 Achados e Dúvidas ..... o que o documento não resolve e precisa de decisão humana</t>
  </si>
  <si>
    <t xml:space="preserve">REGRA CENTRAL — LEIA ANTES DE USAR</t>
  </si>
  <si>
    <t xml:space="preserve">O Anexo I traz a observação literal: "Conferente = Taxa equipe / Demais = Taxa homem".</t>
  </si>
  <si>
    <t xml:space="preserve">→ ESTIVA: a taxa é POR HOMEM (por cota). Custo = taxa × produção × soma das cotas da equipe.</t>
  </si>
  <si>
    <t xml:space="preserve">→ CONFERENTES: a taxa é DA EQUIPE INTEIRA. Custo = taxa × produção, sem multiplicar por cotas.</t>
  </si>
  <si>
    <t xml:space="preserve">O Anexo III item VII confirma: "o salário-dia e o salário-produção são por homem da equipe,</t>
  </si>
  <si>
    <t xml:space="preserve">referente a 1 (uma) cota". O Anexo Conferentes itens 3 a 5 confirma o oposto para conferentes:</t>
  </si>
  <si>
    <t xml:space="preserve">"o valor total arrecadado será dividido pela equipe".</t>
  </si>
  <si>
    <t xml:space="preserve">VALOR A USAR NO CÁLCULO</t>
  </si>
  <si>
    <t xml:space="preserve">Use sempre a coluna "Total c/E.S". O Anexo Conferentes item 11 declara: "em todos os valores</t>
  </si>
  <si>
    <t xml:space="preserve">de remuneração citados neste anexo estão incluídos encargos e contribuição social".</t>
  </si>
  <si>
    <t xml:space="preserve">Base e F.Social aparecem aqui apenas para conferência documental — não some as três colunas.</t>
  </si>
  <si>
    <t xml:space="preserve">PISO DE REMUNERAÇÃO</t>
  </si>
  <si>
    <t xml:space="preserve">Cláusula 5ª, § 2º: quando a remuneração por produção não alcançar o salário-dia, o salário-dia</t>
  </si>
  <si>
    <t xml:space="preserve">é o mínimo do período. É um piso em REAIS por cota, não um piso de tonelagem.</t>
  </si>
  <si>
    <t xml:space="preserve">Anexo Conferentes 8: "os serviços requisitados e não realizados serão remunerados pelo salário-dia".</t>
  </si>
  <si>
    <t xml:space="preserve">ANEXO I — TABELA DE TAXAS E SALÁRIO</t>
  </si>
  <si>
    <t xml:space="preserve">Valores transcritos literalmente do documento. Total c/E.S já inclui encargos e contribuição social.</t>
  </si>
  <si>
    <t xml:space="preserve">Faina</t>
  </si>
  <si>
    <t xml:space="preserve">Descrição</t>
  </si>
  <si>
    <t xml:space="preserve">Categoria</t>
  </si>
  <si>
    <t xml:space="preserve">Unidade</t>
  </si>
  <si>
    <t xml:space="preserve">Natureza da taxa</t>
  </si>
  <si>
    <t xml:space="preserve">Taxa Base</t>
  </si>
  <si>
    <t xml:space="preserve">Taxa F.Social</t>
  </si>
  <si>
    <t xml:space="preserve">Taxa Total c/E.S</t>
  </si>
  <si>
    <t xml:space="preserve">Extra Base</t>
  </si>
  <si>
    <t xml:space="preserve">Extra F.Social</t>
  </si>
  <si>
    <t xml:space="preserve">Extra Total c/E.S</t>
  </si>
  <si>
    <t xml:space="preserve">Sal.Dia Base</t>
  </si>
  <si>
    <t xml:space="preserve">Sal.Dia F.Social</t>
  </si>
  <si>
    <t xml:space="preserve">Sal.Dia Total c/E.S</t>
  </si>
  <si>
    <t xml:space="preserve">Sal.Prod Base</t>
  </si>
  <si>
    <t xml:space="preserve">Sal.Prod F.Social</t>
  </si>
  <si>
    <t xml:space="preserve">Sal.Prod Total c/E.S</t>
  </si>
  <si>
    <t xml:space="preserve">Página</t>
  </si>
  <si>
    <t xml:space="preserve">5.1</t>
  </si>
  <si>
    <t xml:space="preserve">Granito</t>
  </si>
  <si>
    <t xml:space="preserve">Estiva</t>
  </si>
  <si>
    <t xml:space="preserve">Tons</t>
  </si>
  <si>
    <t xml:space="preserve">Taxa homem (por cota)</t>
  </si>
  <si>
    <t xml:space="preserve">5.9</t>
  </si>
  <si>
    <t xml:space="preserve">Prod. Sid.</t>
  </si>
  <si>
    <t xml:space="preserve">Tubos/Trilhos</t>
  </si>
  <si>
    <t xml:space="preserve">Conferente</t>
  </si>
  <si>
    <t xml:space="preserve">Taxa equipe</t>
  </si>
  <si>
    <t xml:space="preserve">7.5</t>
  </si>
  <si>
    <t xml:space="preserve">LO-LO Contêiner vazio</t>
  </si>
  <si>
    <t xml:space="preserve">UND</t>
  </si>
  <si>
    <t xml:space="preserve">LO-LO Contêiner cheio</t>
  </si>
  <si>
    <t xml:space="preserve">LO-LO Máq./Equip.</t>
  </si>
  <si>
    <t xml:space="preserve">TONS</t>
  </si>
  <si>
    <t xml:space="preserve">19.3</t>
  </si>
  <si>
    <t xml:space="preserve">Peação/Despeação</t>
  </si>
  <si>
    <t xml:space="preserve">EQUIPE</t>
  </si>
  <si>
    <t xml:space="preserve">Salário-dia fixo</t>
  </si>
  <si>
    <t xml:space="preserve">Granéis</t>
  </si>
  <si>
    <t xml:space="preserve">Descarga com grabs e funil (itens 1 a 5)</t>
  </si>
  <si>
    <t xml:space="preserve">OBS. do próprio documento: "Conferente = Taxa equipe / Demais = Taxa homem".</t>
  </si>
  <si>
    <t xml:space="preserve">Fator declarado no rodapé do Anexo I: 2,152842 (Base × fator = Total c/E.S). Ver aba 05 — ele NÃO fecha em todas as linhas.</t>
  </si>
  <si>
    <t xml:space="preserve">Peação 19.3 — composição declarada na própria linha do Anexo I:</t>
  </si>
  <si>
    <t xml:space="preserve">Função</t>
  </si>
  <si>
    <t xml:space="preserve">Quant.</t>
  </si>
  <si>
    <t xml:space="preserve">Cota</t>
  </si>
  <si>
    <t xml:space="preserve">Cotas somadas</t>
  </si>
  <si>
    <t xml:space="preserve">Contramestre de porão</t>
  </si>
  <si>
    <t xml:space="preserve">Estivador de porão</t>
  </si>
  <si>
    <t xml:space="preserve">Homem extra — estivador (facultativo)</t>
  </si>
  <si>
    <t xml:space="preserve">Equipe básica (sem homem extra)</t>
  </si>
  <si>
    <t xml:space="preserve">ANEXO II — TABELA DE COMPOSIÇÃO DE EQUIPE (EQUIPE REFERÊNCIA)</t>
  </si>
  <si>
    <t xml:space="preserve">Cotas por função. A soma das cotas da equipe é o multiplicador da taxa na ESTIVA; nos CONFERENTES a taxa já é da equipe.</t>
  </si>
  <si>
    <t xml:space="preserve">Faina / operação</t>
  </si>
  <si>
    <t xml:space="preserve">Cota unitária</t>
  </si>
  <si>
    <t xml:space="preserve">Cotas (quant. × cota)</t>
  </si>
  <si>
    <t xml:space="preserve">Tipo</t>
  </si>
  <si>
    <t xml:space="preserve">Contramestre</t>
  </si>
  <si>
    <t xml:space="preserve">Equipe referência</t>
  </si>
  <si>
    <t xml:space="preserve">Porão</t>
  </si>
  <si>
    <t xml:space="preserve">Portaló</t>
  </si>
  <si>
    <t xml:space="preserve">Guincheiro</t>
  </si>
  <si>
    <t xml:space="preserve">Homem extra</t>
  </si>
  <si>
    <t xml:space="preserve">Operador de empilhadeira</t>
  </si>
  <si>
    <t xml:space="preserve">Chefe (por navio)</t>
  </si>
  <si>
    <t xml:space="preserve">Ajudante (por navio)</t>
  </si>
  <si>
    <t xml:space="preserve">Lingada (por terno)</t>
  </si>
  <si>
    <t xml:space="preserve">Tubos e Trilhos</t>
  </si>
  <si>
    <t xml:space="preserve">LO-LO misto</t>
  </si>
  <si>
    <t xml:space="preserve">Manobreiro</t>
  </si>
  <si>
    <t xml:space="preserve">Planista (por terno)</t>
  </si>
  <si>
    <t xml:space="preserve">Granéis item 1 — grabs e funil</t>
  </si>
  <si>
    <t xml:space="preserve">Sinaleiro</t>
  </si>
  <si>
    <t xml:space="preserve">Granéis item 2 — + pá carregadeira</t>
  </si>
  <si>
    <t xml:space="preserve">Operador de máquina</t>
  </si>
  <si>
    <t xml:space="preserve">Granéis item 3 — + limpeza do convés</t>
  </si>
  <si>
    <t xml:space="preserve">Granéis item 4 — + piso do porão</t>
  </si>
  <si>
    <t xml:space="preserve">Granéis item 5 — + cavernas e amuras</t>
  </si>
  <si>
    <t xml:space="preserve">Granéis (todos os itens)</t>
  </si>
  <si>
    <t xml:space="preserve">Conferente (por terno)</t>
  </si>
  <si>
    <t xml:space="preserve">SOMA DAS COTAS DA EQUIPE DE REFERÊNCIA (sem homem extra)</t>
  </si>
  <si>
    <t xml:space="preserve">Cotas da equipe de referência</t>
  </si>
  <si>
    <t xml:space="preserve">CLÁUSULA 6ª — ADICIONAIS DE JORNADA</t>
  </si>
  <si>
    <t xml:space="preserve">Percentuais somados ao preço normal da cota de produção ou do salário-dia. Página 3 do documento.</t>
  </si>
  <si>
    <t xml:space="preserve">Tipo de dia</t>
  </si>
  <si>
    <t xml:space="preserve">Faixa horária</t>
  </si>
  <si>
    <t xml:space="preserve">Adicional (%)</t>
  </si>
  <si>
    <t xml:space="preserve">Fator multiplicador</t>
  </si>
  <si>
    <t xml:space="preserve">Cláusula</t>
  </si>
  <si>
    <t xml:space="preserve">Dia comum</t>
  </si>
  <si>
    <t xml:space="preserve">07h às 19h</t>
  </si>
  <si>
    <t xml:space="preserve">§ caput</t>
  </si>
  <si>
    <t xml:space="preserve">19h às 7h (noturno)</t>
  </si>
  <si>
    <t xml:space="preserve">Cláusula 6ª, caput</t>
  </si>
  <si>
    <t xml:space="preserve">Sábado</t>
  </si>
  <si>
    <t xml:space="preserve">Cláusula 6ª, § 1º, a</t>
  </si>
  <si>
    <t xml:space="preserve">19h às 7h</t>
  </si>
  <si>
    <t xml:space="preserve">Domingo</t>
  </si>
  <si>
    <t xml:space="preserve">Cláusula 6ª, § 1º, b</t>
  </si>
  <si>
    <t xml:space="preserve">Feriado</t>
  </si>
  <si>
    <t xml:space="preserve">Cláusula 6ª, § 1º, c</t>
  </si>
  <si>
    <t xml:space="preserve">Cláusula 6ª, § 2º: feriado que cai no domingo aplica SOMENTE o adicional de feriado, sem o de fim de semana.</t>
  </si>
  <si>
    <t xml:space="preserve">Cláusula 6ª, § 1º: "na jornada noturna já está incluso o adicional noturno" — o de 25% não se soma aos demais.</t>
  </si>
  <si>
    <t xml:space="preserve">O documento define as faixas como 07h–19h e 19h–07h. O simulador trabalha com quatro períodos de 6h (01-07, 07-13, 13-19, 19-01): ver aba 05.</t>
  </si>
  <si>
    <t xml:space="preserve">REGRA DE CÁLCULO POR FAINA</t>
  </si>
  <si>
    <t xml:space="preserve">Derivada das cláusulas do ACT e dos Anexos I, II e III. Cada linha diz o que multiplicar por quê.</t>
  </si>
  <si>
    <t xml:space="preserve">Regime</t>
  </si>
  <si>
    <t xml:space="preserve">Valor unitário (Total c/E.S)</t>
  </si>
  <si>
    <t xml:space="preserve">Multiplicar por cotas?</t>
  </si>
  <si>
    <t xml:space="preserve">Cotas da equipe</t>
  </si>
  <si>
    <t xml:space="preserve">Fórmula do período</t>
  </si>
  <si>
    <t xml:space="preserve">Salário-dia (piso, R$/cota)</t>
  </si>
  <si>
    <t xml:space="preserve">Base documental</t>
  </si>
  <si>
    <t xml:space="preserve">Produção</t>
  </si>
  <si>
    <t xml:space="preserve">SIM</t>
  </si>
  <si>
    <t xml:space="preserve">0,99 × produção × 7,5 cotas × majoração</t>
  </si>
  <si>
    <t xml:space="preserve">Anexo I + Anexo II + Anexo III V/VII</t>
  </si>
  <si>
    <t xml:space="preserve">NÃO</t>
  </si>
  <si>
    <t xml:space="preserve">3,01 × produção × majoração</t>
  </si>
  <si>
    <t xml:space="preserve">Anexo I (OBS) + Anexo Conferentes 4</t>
  </si>
  <si>
    <t xml:space="preserve">0,98 × produção × 7,5 cotas × majoração</t>
  </si>
  <si>
    <t xml:space="preserve">Anexo I + Anexo II</t>
  </si>
  <si>
    <t xml:space="preserve">4,00 × produção × majoração</t>
  </si>
  <si>
    <t xml:space="preserve">Anexo I (OBS) + Anexo Conferentes 5</t>
  </si>
  <si>
    <t xml:space="preserve">Anexo I (OBS) + Anexo Conferentes 5-F</t>
  </si>
  <si>
    <t xml:space="preserve">LO-LO cont. vazio</t>
  </si>
  <si>
    <t xml:space="preserve">8,37 × contêineres × 10,5 cotas × majoração</t>
  </si>
  <si>
    <t xml:space="preserve">LO-LO cont. cheio</t>
  </si>
  <si>
    <t xml:space="preserve">8,89 × contêineres × 10,5 cotas × majoração</t>
  </si>
  <si>
    <t xml:space="preserve">LO-LO máq./equip.</t>
  </si>
  <si>
    <t xml:space="preserve">2,05 × toneladas × 10,5 cotas × majoração</t>
  </si>
  <si>
    <t xml:space="preserve">Anexo I + Anexo II + Anexo III VI</t>
  </si>
  <si>
    <t xml:space="preserve">34,46 × contêineres × majoração</t>
  </si>
  <si>
    <t xml:space="preserve">Anexo I (OBS) + Anexo Conferentes 3</t>
  </si>
  <si>
    <t xml:space="preserve">36,94 × contêineres × majoração</t>
  </si>
  <si>
    <t xml:space="preserve">1,94 × toneladas × majoração</t>
  </si>
  <si>
    <t xml:space="preserve">Anexo I (OBS)</t>
  </si>
  <si>
    <t xml:space="preserve">515,20 × 5,5 cotas × majoração (por terno)</t>
  </si>
  <si>
    <t xml:space="preserve">Anexo I — remuneração fixa</t>
  </si>
  <si>
    <t xml:space="preserve">Granéis 1</t>
  </si>
  <si>
    <t xml:space="preserve">Grabs e funil</t>
  </si>
  <si>
    <t xml:space="preserve">0,48 × produção × 3,5 cotas × majoração</t>
  </si>
  <si>
    <t xml:space="preserve">Anexo I Granéis + Anexo II Granéis</t>
  </si>
  <si>
    <t xml:space="preserve">Granéis 2</t>
  </si>
  <si>
    <t xml:space="preserve">+ pá carregadeira</t>
  </si>
  <si>
    <t xml:space="preserve">Granéis 3</t>
  </si>
  <si>
    <t xml:space="preserve">+ limpeza do convés</t>
  </si>
  <si>
    <t xml:space="preserve">0,48 × produção × 5,5 cotas × majoração</t>
  </si>
  <si>
    <t xml:space="preserve">Granéis 4</t>
  </si>
  <si>
    <t xml:space="preserve">+ piso do porão</t>
  </si>
  <si>
    <t xml:space="preserve">0,48 × produção × 7,5 cotas × majoração</t>
  </si>
  <si>
    <t xml:space="preserve">Granéis 5</t>
  </si>
  <si>
    <t xml:space="preserve">+ cavernas e amuras</t>
  </si>
  <si>
    <t xml:space="preserve">0,48 × produção × 11,5 cotas × majoração</t>
  </si>
  <si>
    <t xml:space="preserve">Todos os itens</t>
  </si>
  <si>
    <t xml:space="preserve">0,48 × produção × majoração</t>
  </si>
  <si>
    <t xml:space="preserve">Anexo I (OBS) + Anexo Conferentes 6</t>
  </si>
  <si>
    <t xml:space="preserve">A coluna "Cotas da equipe" na linha de CONFERENTE é informativa: NÃO entra na conta (a taxa já é da equipe inteira).</t>
  </si>
  <si>
    <t xml:space="preserve">Majoração = fator da aba 03 conforme dia e faixa horária do período.</t>
  </si>
  <si>
    <t xml:space="preserve">O custo total de um terno é ESTIVA + CONFERENTE somados. O ACT trata as duas categorias em tabelas separadas.</t>
  </si>
  <si>
    <t xml:space="preserve">Homem extra é requisição facultativa (Anexo III I/II) e não está incluído nas cotas acima.</t>
  </si>
  <si>
    <t xml:space="preserve">ACHADOS DA LEITURA — O QUE PRECISA DE DECISÃO HUMANA</t>
  </si>
  <si>
    <t xml:space="preserve">#</t>
  </si>
  <si>
    <t xml:space="preserve">Achado</t>
  </si>
  <si>
    <t xml:space="preserve">Por que importa</t>
  </si>
  <si>
    <t xml:space="preserve">O que eu fiz</t>
  </si>
  <si>
    <t xml:space="preserve">O que preciso de você</t>
  </si>
  <si>
    <t xml:space="preserve">O fator declarado no Anexo I (2,152842) não fecha em todas as linhas.</t>
  </si>
  <si>
    <t xml:space="preserve">Granito, Prod.Sid., Tubos e Granéis batem exatamente (0,46×2,152842=0,99; 0,223×2,152842=0,48). Mas as faixas 7.5 e a peação 19.3 usam ~2,1316 (3,93×2,1316=8,37; 241,69×2,1316=515,20). São dois fatores no mesmo anexo.</t>
  </si>
  <si>
    <t xml:space="preserve">Transcrevi Base, F.Social e Total c/E.S como estão e uso SEMPRE a coluna Total c/E.S, que é o valor pactuado. Assim a divergência do fator não afeta o cálculo.</t>
  </si>
  <si>
    <t xml:space="preserve">Confirmar que Total c/E.S é o valor a cobrar. Se algum dia recalcularmos a partir da Base, precisamos saber qual fator vale para qual faina.</t>
  </si>
  <si>
    <t xml:space="preserve">O salário-dia dos conferentes na faina 7.5 tem F.Social diferente.</t>
  </si>
  <si>
    <t xml:space="preserve">Estiva 7.5: 221,13 + 50,86 → 471,37 (F.Social = 23%). Conferente 7.5: mesma base 221,13, mas F.Social 45,77 (20,7%) → 424,18. Mesma base, dois resultados.</t>
  </si>
  <si>
    <t xml:space="preserve">Transcrevi os dois como estão, sem uniformizar.</t>
  </si>
  <si>
    <t xml:space="preserve">Confirmar se 424,18 está correto ou se é erro de digitação da planilha anexa ao ACT.</t>
  </si>
  <si>
    <t xml:space="preserve">O ACT define faixas de 12h (07–19h e 19–07h); o simulador usa quatro períodos de 6h.</t>
  </si>
  <si>
    <t xml:space="preserve">A regra de majoração precisa mapear período → faixa. 07-13 e 13-19 caem no diurno; 19-01 e 01-07 no noturno. O ACT não fala em períodos de 6h em lugar nenhum.</t>
  </si>
  <si>
    <t xml:space="preserve">Mantive o mapeamento que o simulador já usa, que é consistente com as faixas do ACT.</t>
  </si>
  <si>
    <t xml:space="preserve">Confirmar que a requisição no OGMO é mesmo por período de 6h e que a fatura segue esse recorte.</t>
  </si>
  <si>
    <t xml:space="preserve">Chefe e ajudante de conferentes são POR NAVIO, não por terno.</t>
  </si>
  <si>
    <t xml:space="preserve">Anexo Conferentes 2-A, 3-A, 3-B, 3-C: "01 conferente chefe, por navio". Só lingada e planista são por terno. Se o simulador cobrar a equipe inteira de conferentes em cada terno, superfatura operações com vários ternos.</t>
  </si>
  <si>
    <t xml:space="preserve">Marquei a distinção na aba 02 (por navio / por terno). Não muda a taxa de conferente, que já é da equipe.</t>
  </si>
  <si>
    <t xml:space="preserve">Decidir como o simulador trata isso — hoje ele não tem o conceito de custo por navio.</t>
  </si>
  <si>
    <t xml:space="preserve">Não existe produção mínima em toneladas neste ACT.</t>
  </si>
  <si>
    <t xml:space="preserve">O piso da cláusula 5ª, §2º é em REAIS (salário-dia por cota), não em tonelagem. A curva de custo por produtividade não tem "joelho" de tonelada: ela vira quando a produção deixa de pagar o salário-dia.</t>
  </si>
  <si>
    <t xml:space="preserve">Registrei o salário-dia de cada faina como piso monetário na aba 04.</t>
  </si>
  <si>
    <t xml:space="preserve">Nada — mas o simulador precisa trocar o piso de tonelagem pelo piso em reais para refletir o documento.</t>
  </si>
  <si>
    <t xml:space="preserve">Cargas não previstas caem na CCT, que acabamos de remover.</t>
  </si>
  <si>
    <t xml:space="preserve">Cláusula 13ª e Anexo Conferentes 3-E mandam usar a CCT para "todas as outras cargas não previstas neste acordo". O ACT cobre granito, siderúrgicos, tubos/trilhos, LO-LO misto, peação e granéis — mais nada.</t>
  </si>
  <si>
    <t xml:space="preserve">Nenhuma faina fora dessa lista entra no catálogo.</t>
  </si>
  <si>
    <t xml:space="preserve">Confirmar que o simulador deve RECUSAR cotar carga fora dessas seis famílias, em vez de estimar.</t>
  </si>
  <si>
    <t xml:space="preserve">O rateio entre funções não afeta o custo do PORTMAC.</t>
  </si>
  <si>
    <t xml:space="preserve">Anexo Conferentes 3-C e 7: chefe recebe 2×, ajudante 1,15×, etc. Isso divide o bolo entre trabalhadores; o total arrecadado não muda. O item 7-A é explícito: "qualquer modificação não implicará em nenhum ônus adicional ao PORTMAC".</t>
  </si>
  <si>
    <t xml:space="preserve">Não modelei o rateio: para custo, ele é irrelevante.</t>
  </si>
  <si>
    <t xml:space="preserve">Nada. Registrado para quem for auditar.</t>
  </si>
  <si>
    <t xml:space="preserve">PDF digitalizado, sem camada de texto.</t>
  </si>
  <si>
    <t xml:space="preserve">Todos os 17 páginas são imagem. O Anexo I e o Anexo II estão numa única página deitada, em corpo pequeno.</t>
  </si>
  <si>
    <t xml:space="preserve">Li tudo por imagem a 400 e 900 dpi e conferi cada número duas vezes; validei por aritmética onde havia fator (achado 1).</t>
  </si>
  <si>
    <t xml:space="preserve">Uma conferência humana da aba 01 contra o papel. É onde um dígito errado custaria mais caro.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</si>
</sst>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"/>
    <numFmt numFmtId="166" formatCode="#,##0.00"/>
    <numFmt numFmtId="167" formatCode="0.000%"/>
    <numFmt numFmtId="168" formatCode="#,##0.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8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  <row r="24" customFormat="false" ht="15" hidden="false" customHeight="true" outlineLevel="0" collapsed="false">
      <c r="A24" s="3"/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  <row r="28" customFormat="false" ht="15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/>
    </row>
    <row r="30" customFormat="false" ht="15" hidden="false" customHeight="true" outlineLevel="0" collapsed="false">
      <c r="A30" s="4" t="s">
        <v>24</v>
      </c>
    </row>
    <row r="31" customFormat="false" ht="15" hidden="false" customHeight="true" outlineLevel="0" collapsed="false">
      <c r="A31" s="3" t="s">
        <v>25</v>
      </c>
    </row>
    <row r="32" customFormat="false" ht="15" hidden="false" customHeight="true" outlineLevel="0" collapsed="false">
      <c r="A32" s="3" t="s">
        <v>26</v>
      </c>
    </row>
    <row r="33" customFormat="false" ht="15" hidden="false" customHeight="true" outlineLevel="0" collapsed="false">
      <c r="A33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14"/>
    <col collapsed="false" customWidth="true" hidden="false" outlineLevel="0" max="17" min="17" style="1" width="17"/>
    <col collapsed="false" customWidth="true" hidden="false" outlineLevel="0" max="18" min="18" style="1" width="8"/>
  </cols>
  <sheetData>
    <row r="1" customFormat="false" ht="15.75" hidden="false" customHeight="true" outlineLevel="0" collapsed="false">
      <c r="A1" s="5" t="s">
        <v>28</v>
      </c>
    </row>
    <row r="2" customFormat="false" ht="15" hidden="false" customHeight="true" outlineLevel="0" collapsed="false">
      <c r="A2" s="6" t="s">
        <v>29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40</v>
      </c>
      <c r="L4" s="7" t="s">
        <v>41</v>
      </c>
      <c r="M4" s="7" t="s">
        <v>42</v>
      </c>
      <c r="N4" s="7" t="s">
        <v>43</v>
      </c>
      <c r="O4" s="7" t="s">
        <v>44</v>
      </c>
      <c r="P4" s="7" t="s">
        <v>45</v>
      </c>
      <c r="Q4" s="7" t="s">
        <v>46</v>
      </c>
      <c r="R4" s="7" t="s">
        <v>47</v>
      </c>
    </row>
    <row r="5" customFormat="false" ht="15" hidden="false" customHeight="true" outlineLevel="0" collapsed="false">
      <c r="A5" s="8" t="s">
        <v>48</v>
      </c>
      <c r="B5" s="8" t="s">
        <v>49</v>
      </c>
      <c r="C5" s="8" t="s">
        <v>50</v>
      </c>
      <c r="D5" s="8" t="s">
        <v>51</v>
      </c>
      <c r="E5" s="8" t="s">
        <v>52</v>
      </c>
      <c r="F5" s="9" t="n">
        <v>0.46</v>
      </c>
      <c r="G5" s="9" t="n">
        <v>0.11</v>
      </c>
      <c r="H5" s="9" t="n">
        <v>0.99</v>
      </c>
      <c r="I5" s="9" t="n">
        <v>0.46</v>
      </c>
      <c r="J5" s="9" t="n">
        <v>0.11</v>
      </c>
      <c r="K5" s="9" t="n">
        <v>0.99</v>
      </c>
      <c r="L5" s="9" t="n">
        <v>190.51</v>
      </c>
      <c r="M5" s="9" t="n">
        <v>43.82</v>
      </c>
      <c r="N5" s="9" t="n">
        <v>410.14</v>
      </c>
      <c r="O5" s="9" t="n">
        <v>299.32</v>
      </c>
      <c r="P5" s="9" t="n">
        <v>68.84</v>
      </c>
      <c r="Q5" s="9" t="n">
        <v>644.38</v>
      </c>
      <c r="R5" s="10" t="n">
        <v>17</v>
      </c>
    </row>
    <row r="6" customFormat="false" ht="15" hidden="false" customHeight="true" outlineLevel="0" collapsed="false">
      <c r="A6" s="8" t="s">
        <v>53</v>
      </c>
      <c r="B6" s="8" t="s">
        <v>54</v>
      </c>
      <c r="C6" s="8" t="s">
        <v>50</v>
      </c>
      <c r="D6" s="8" t="s">
        <v>51</v>
      </c>
      <c r="E6" s="8" t="s">
        <v>52</v>
      </c>
      <c r="F6" s="9" t="n">
        <v>0.45</v>
      </c>
      <c r="G6" s="9" t="n">
        <v>0.1</v>
      </c>
      <c r="H6" s="9" t="n">
        <v>0.98</v>
      </c>
      <c r="I6" s="9" t="n">
        <v>0.45</v>
      </c>
      <c r="J6" s="9" t="n">
        <v>0.1</v>
      </c>
      <c r="K6" s="9" t="n">
        <v>0.98</v>
      </c>
      <c r="L6" s="9" t="n">
        <v>167.54</v>
      </c>
      <c r="M6" s="9" t="n">
        <v>38.53</v>
      </c>
      <c r="N6" s="9" t="n">
        <v>360.69</v>
      </c>
      <c r="O6" s="9"/>
      <c r="P6" s="9"/>
      <c r="Q6" s="9"/>
      <c r="R6" s="10" t="n">
        <v>17</v>
      </c>
    </row>
    <row r="7" customFormat="false" ht="15" hidden="false" customHeight="true" outlineLevel="0" collapsed="false">
      <c r="A7" s="8" t="s">
        <v>53</v>
      </c>
      <c r="B7" s="8" t="s">
        <v>55</v>
      </c>
      <c r="C7" s="8" t="s">
        <v>50</v>
      </c>
      <c r="D7" s="8" t="s">
        <v>51</v>
      </c>
      <c r="E7" s="8" t="s">
        <v>52</v>
      </c>
      <c r="F7" s="9" t="n">
        <v>0.45</v>
      </c>
      <c r="G7" s="9" t="n">
        <v>0.1</v>
      </c>
      <c r="H7" s="9" t="n">
        <v>0.98</v>
      </c>
      <c r="I7" s="9" t="n">
        <v>0.45</v>
      </c>
      <c r="J7" s="9" t="n">
        <v>0.1</v>
      </c>
      <c r="K7" s="9" t="n">
        <v>0.98</v>
      </c>
      <c r="L7" s="9" t="n">
        <v>167.54</v>
      </c>
      <c r="M7" s="9" t="n">
        <v>38.53</v>
      </c>
      <c r="N7" s="9" t="n">
        <v>360.69</v>
      </c>
      <c r="O7" s="9"/>
      <c r="P7" s="9"/>
      <c r="Q7" s="9"/>
      <c r="R7" s="10" t="n">
        <v>17</v>
      </c>
    </row>
    <row r="8" customFormat="false" ht="15" hidden="false" customHeight="true" outlineLevel="0" collapsed="false">
      <c r="A8" s="8" t="s">
        <v>48</v>
      </c>
      <c r="B8" s="8" t="s">
        <v>49</v>
      </c>
      <c r="C8" s="8" t="s">
        <v>56</v>
      </c>
      <c r="D8" s="8" t="s">
        <v>51</v>
      </c>
      <c r="E8" s="8" t="s">
        <v>57</v>
      </c>
      <c r="F8" s="9" t="n">
        <v>1.399</v>
      </c>
      <c r="G8" s="9" t="n">
        <v>0.32</v>
      </c>
      <c r="H8" s="9" t="n">
        <v>3.01</v>
      </c>
      <c r="I8" s="9"/>
      <c r="J8" s="9"/>
      <c r="K8" s="9"/>
      <c r="L8" s="9" t="n">
        <v>190.51</v>
      </c>
      <c r="M8" s="9" t="n">
        <v>43.82</v>
      </c>
      <c r="N8" s="9" t="n">
        <v>410.14</v>
      </c>
      <c r="O8" s="9" t="n">
        <v>299.32</v>
      </c>
      <c r="P8" s="9" t="n">
        <v>68.84</v>
      </c>
      <c r="Q8" s="9" t="n">
        <v>644.38</v>
      </c>
      <c r="R8" s="10" t="n">
        <v>17</v>
      </c>
    </row>
    <row r="9" customFormat="false" ht="15" hidden="false" customHeight="true" outlineLevel="0" collapsed="false">
      <c r="A9" s="8" t="s">
        <v>53</v>
      </c>
      <c r="B9" s="8" t="s">
        <v>54</v>
      </c>
      <c r="C9" s="8" t="s">
        <v>56</v>
      </c>
      <c r="D9" s="8" t="s">
        <v>51</v>
      </c>
      <c r="E9" s="8" t="s">
        <v>57</v>
      </c>
      <c r="F9" s="9" t="n">
        <v>1.859</v>
      </c>
      <c r="G9" s="9" t="n">
        <v>0.43</v>
      </c>
      <c r="H9" s="9" t="n">
        <v>4</v>
      </c>
      <c r="I9" s="9"/>
      <c r="J9" s="9"/>
      <c r="K9" s="9"/>
      <c r="L9" s="9" t="n">
        <v>167.54</v>
      </c>
      <c r="M9" s="9" t="n">
        <v>38.53</v>
      </c>
      <c r="N9" s="9" t="n">
        <v>360.68</v>
      </c>
      <c r="O9" s="9"/>
      <c r="P9" s="9"/>
      <c r="Q9" s="9"/>
      <c r="R9" s="10" t="n">
        <v>17</v>
      </c>
    </row>
    <row r="10" customFormat="false" ht="15" hidden="false" customHeight="true" outlineLevel="0" collapsed="false">
      <c r="A10" s="8" t="s">
        <v>53</v>
      </c>
      <c r="B10" s="8" t="s">
        <v>55</v>
      </c>
      <c r="C10" s="8" t="s">
        <v>56</v>
      </c>
      <c r="D10" s="8" t="s">
        <v>51</v>
      </c>
      <c r="E10" s="8" t="s">
        <v>57</v>
      </c>
      <c r="F10" s="9" t="n">
        <v>1.859</v>
      </c>
      <c r="G10" s="9" t="n">
        <v>0.43</v>
      </c>
      <c r="H10" s="9" t="n">
        <v>4</v>
      </c>
      <c r="I10" s="9"/>
      <c r="J10" s="9"/>
      <c r="K10" s="9"/>
      <c r="L10" s="9" t="n">
        <v>167.54</v>
      </c>
      <c r="M10" s="9" t="n">
        <v>38.53</v>
      </c>
      <c r="N10" s="9" t="n">
        <v>360.68</v>
      </c>
      <c r="O10" s="9"/>
      <c r="P10" s="9"/>
      <c r="Q10" s="9"/>
      <c r="R10" s="10" t="n">
        <v>17</v>
      </c>
    </row>
    <row r="11" customFormat="false" ht="15" hidden="false" customHeight="true" outlineLevel="0" collapsed="false">
      <c r="A11" s="8" t="s">
        <v>58</v>
      </c>
      <c r="B11" s="8" t="s">
        <v>59</v>
      </c>
      <c r="C11" s="8" t="s">
        <v>50</v>
      </c>
      <c r="D11" s="8" t="s">
        <v>60</v>
      </c>
      <c r="E11" s="8" t="s">
        <v>52</v>
      </c>
      <c r="F11" s="9" t="n">
        <v>3.93</v>
      </c>
      <c r="G11" s="9" t="n">
        <v>0.9</v>
      </c>
      <c r="H11" s="9" t="n">
        <v>8.37</v>
      </c>
      <c r="I11" s="9" t="n">
        <v>3.93</v>
      </c>
      <c r="J11" s="9" t="n">
        <v>0.9</v>
      </c>
      <c r="K11" s="9" t="n">
        <v>8.37</v>
      </c>
      <c r="L11" s="9" t="n">
        <v>221.13</v>
      </c>
      <c r="M11" s="9" t="n">
        <v>50.86</v>
      </c>
      <c r="N11" s="9" t="n">
        <v>471.37</v>
      </c>
      <c r="O11" s="9"/>
      <c r="P11" s="9"/>
      <c r="Q11" s="9"/>
      <c r="R11" s="10" t="n">
        <v>17</v>
      </c>
    </row>
    <row r="12" customFormat="false" ht="15" hidden="false" customHeight="true" outlineLevel="0" collapsed="false">
      <c r="A12" s="8" t="s">
        <v>58</v>
      </c>
      <c r="B12" s="8" t="s">
        <v>61</v>
      </c>
      <c r="C12" s="8" t="s">
        <v>50</v>
      </c>
      <c r="D12" s="8" t="s">
        <v>60</v>
      </c>
      <c r="E12" s="8" t="s">
        <v>52</v>
      </c>
      <c r="F12" s="9" t="n">
        <v>4.17</v>
      </c>
      <c r="G12" s="9" t="n">
        <v>0.96</v>
      </c>
      <c r="H12" s="9" t="n">
        <v>8.89</v>
      </c>
      <c r="I12" s="9" t="n">
        <v>4.17</v>
      </c>
      <c r="J12" s="9" t="n">
        <v>0.96</v>
      </c>
      <c r="K12" s="9" t="n">
        <v>8.89</v>
      </c>
      <c r="L12" s="9" t="n">
        <v>221.13</v>
      </c>
      <c r="M12" s="9" t="n">
        <v>50.86</v>
      </c>
      <c r="N12" s="9" t="n">
        <v>471.37</v>
      </c>
      <c r="O12" s="9"/>
      <c r="P12" s="9"/>
      <c r="Q12" s="9"/>
      <c r="R12" s="10" t="n">
        <v>17</v>
      </c>
    </row>
    <row r="13" customFormat="false" ht="15" hidden="false" customHeight="true" outlineLevel="0" collapsed="false">
      <c r="A13" s="8" t="s">
        <v>58</v>
      </c>
      <c r="B13" s="8" t="s">
        <v>62</v>
      </c>
      <c r="C13" s="8" t="s">
        <v>50</v>
      </c>
      <c r="D13" s="8" t="s">
        <v>63</v>
      </c>
      <c r="E13" s="8" t="s">
        <v>52</v>
      </c>
      <c r="F13" s="9" t="n">
        <v>0.96</v>
      </c>
      <c r="G13" s="9" t="n">
        <v>0.22</v>
      </c>
      <c r="H13" s="9" t="n">
        <v>2.05</v>
      </c>
      <c r="I13" s="9" t="n">
        <v>0.96</v>
      </c>
      <c r="J13" s="9" t="n">
        <v>0.22</v>
      </c>
      <c r="K13" s="9" t="n">
        <v>2.05</v>
      </c>
      <c r="L13" s="9" t="n">
        <v>221.13</v>
      </c>
      <c r="M13" s="9" t="n">
        <v>50.86</v>
      </c>
      <c r="N13" s="9" t="n">
        <v>471.37</v>
      </c>
      <c r="O13" s="9"/>
      <c r="P13" s="9"/>
      <c r="Q13" s="9"/>
      <c r="R13" s="10" t="n">
        <v>17</v>
      </c>
    </row>
    <row r="14" customFormat="false" ht="15" hidden="false" customHeight="true" outlineLevel="0" collapsed="false">
      <c r="A14" s="8" t="s">
        <v>58</v>
      </c>
      <c r="B14" s="8" t="s">
        <v>59</v>
      </c>
      <c r="C14" s="8" t="s">
        <v>56</v>
      </c>
      <c r="D14" s="8" t="s">
        <v>60</v>
      </c>
      <c r="E14" s="8" t="s">
        <v>57</v>
      </c>
      <c r="F14" s="9" t="n">
        <v>16.17</v>
      </c>
      <c r="G14" s="9" t="n">
        <v>3.71</v>
      </c>
      <c r="H14" s="9" t="n">
        <v>34.46</v>
      </c>
      <c r="I14" s="9"/>
      <c r="J14" s="9"/>
      <c r="K14" s="9"/>
      <c r="L14" s="9" t="n">
        <v>221.13</v>
      </c>
      <c r="M14" s="9" t="n">
        <v>45.77</v>
      </c>
      <c r="N14" s="9" t="n">
        <v>424.18</v>
      </c>
      <c r="O14" s="9"/>
      <c r="P14" s="9"/>
      <c r="Q14" s="9"/>
      <c r="R14" s="10" t="n">
        <v>17</v>
      </c>
    </row>
    <row r="15" customFormat="false" ht="15" hidden="false" customHeight="true" outlineLevel="0" collapsed="false">
      <c r="A15" s="8" t="s">
        <v>58</v>
      </c>
      <c r="B15" s="8" t="s">
        <v>61</v>
      </c>
      <c r="C15" s="8" t="s">
        <v>56</v>
      </c>
      <c r="D15" s="8" t="s">
        <v>60</v>
      </c>
      <c r="E15" s="8" t="s">
        <v>57</v>
      </c>
      <c r="F15" s="9" t="n">
        <v>17.33</v>
      </c>
      <c r="G15" s="9" t="n">
        <v>3.98</v>
      </c>
      <c r="H15" s="9" t="n">
        <v>36.94</v>
      </c>
      <c r="I15" s="9"/>
      <c r="J15" s="9"/>
      <c r="K15" s="9"/>
      <c r="L15" s="9" t="n">
        <v>221.13</v>
      </c>
      <c r="M15" s="9" t="n">
        <v>45.77</v>
      </c>
      <c r="N15" s="9" t="n">
        <v>424.18</v>
      </c>
      <c r="O15" s="9"/>
      <c r="P15" s="9"/>
      <c r="Q15" s="9"/>
      <c r="R15" s="10" t="n">
        <v>17</v>
      </c>
    </row>
    <row r="16" customFormat="false" ht="15" hidden="false" customHeight="true" outlineLevel="0" collapsed="false">
      <c r="A16" s="8" t="s">
        <v>58</v>
      </c>
      <c r="B16" s="8" t="s">
        <v>62</v>
      </c>
      <c r="C16" s="8" t="s">
        <v>56</v>
      </c>
      <c r="D16" s="8" t="s">
        <v>63</v>
      </c>
      <c r="E16" s="8" t="s">
        <v>57</v>
      </c>
      <c r="F16" s="9" t="n">
        <v>0.91</v>
      </c>
      <c r="G16" s="9" t="n">
        <v>0.21</v>
      </c>
      <c r="H16" s="9" t="n">
        <v>1.94</v>
      </c>
      <c r="I16" s="9"/>
      <c r="J16" s="9"/>
      <c r="K16" s="9"/>
      <c r="L16" s="9" t="n">
        <v>221.13</v>
      </c>
      <c r="M16" s="9" t="n">
        <v>45.77</v>
      </c>
      <c r="N16" s="9" t="n">
        <v>424.18</v>
      </c>
      <c r="O16" s="9"/>
      <c r="P16" s="9"/>
      <c r="Q16" s="9"/>
      <c r="R16" s="10" t="n">
        <v>17</v>
      </c>
    </row>
    <row r="17" customFormat="false" ht="15" hidden="false" customHeight="true" outlineLevel="0" collapsed="false">
      <c r="A17" s="8" t="s">
        <v>64</v>
      </c>
      <c r="B17" s="8" t="s">
        <v>65</v>
      </c>
      <c r="C17" s="8" t="s">
        <v>50</v>
      </c>
      <c r="D17" s="8" t="s">
        <v>66</v>
      </c>
      <c r="E17" s="8" t="s">
        <v>67</v>
      </c>
      <c r="F17" s="9"/>
      <c r="G17" s="9"/>
      <c r="H17" s="9"/>
      <c r="I17" s="9"/>
      <c r="J17" s="9"/>
      <c r="K17" s="9"/>
      <c r="L17" s="9" t="n">
        <v>241.69</v>
      </c>
      <c r="M17" s="9" t="n">
        <v>55.59</v>
      </c>
      <c r="N17" s="9" t="n">
        <v>515.2</v>
      </c>
      <c r="O17" s="9"/>
      <c r="P17" s="9"/>
      <c r="Q17" s="9"/>
      <c r="R17" s="10" t="n">
        <v>17</v>
      </c>
    </row>
    <row r="18" customFormat="false" ht="15" hidden="false" customHeight="true" outlineLevel="0" collapsed="false">
      <c r="A18" s="8" t="s">
        <v>68</v>
      </c>
      <c r="B18" s="8" t="s">
        <v>69</v>
      </c>
      <c r="C18" s="8" t="s">
        <v>50</v>
      </c>
      <c r="D18" s="8" t="s">
        <v>51</v>
      </c>
      <c r="E18" s="8" t="s">
        <v>52</v>
      </c>
      <c r="F18" s="9" t="n">
        <v>0.223</v>
      </c>
      <c r="G18" s="9" t="n">
        <v>0.05</v>
      </c>
      <c r="H18" s="9" t="n">
        <v>0.48</v>
      </c>
      <c r="I18" s="9"/>
      <c r="J18" s="9"/>
      <c r="K18" s="9"/>
      <c r="L18" s="9" t="n">
        <v>142.587</v>
      </c>
      <c r="M18" s="9" t="n">
        <v>32.8</v>
      </c>
      <c r="N18" s="9" t="n">
        <v>306.97</v>
      </c>
      <c r="O18" s="9"/>
      <c r="P18" s="9"/>
      <c r="Q18" s="9"/>
      <c r="R18" s="10" t="n">
        <v>17</v>
      </c>
    </row>
    <row r="19" customFormat="false" ht="15" hidden="false" customHeight="true" outlineLevel="0" collapsed="false">
      <c r="A19" s="8" t="s">
        <v>68</v>
      </c>
      <c r="B19" s="8" t="s">
        <v>69</v>
      </c>
      <c r="C19" s="8" t="s">
        <v>56</v>
      </c>
      <c r="D19" s="8" t="s">
        <v>51</v>
      </c>
      <c r="E19" s="8" t="s">
        <v>57</v>
      </c>
      <c r="F19" s="9" t="n">
        <v>0.223</v>
      </c>
      <c r="G19" s="9" t="n">
        <v>0.05</v>
      </c>
      <c r="H19" s="9" t="n">
        <v>0.48</v>
      </c>
      <c r="I19" s="9"/>
      <c r="J19" s="9"/>
      <c r="K19" s="9"/>
      <c r="L19" s="9" t="n">
        <v>142.587</v>
      </c>
      <c r="M19" s="9" t="n">
        <v>32.8</v>
      </c>
      <c r="N19" s="9" t="n">
        <v>306.97</v>
      </c>
      <c r="O19" s="9"/>
      <c r="P19" s="9"/>
      <c r="Q19" s="9"/>
      <c r="R19" s="10" t="n">
        <v>17</v>
      </c>
    </row>
    <row r="21" customFormat="false" ht="15" hidden="false" customHeight="true" outlineLevel="0" collapsed="false">
      <c r="A21" s="11" t="s">
        <v>70</v>
      </c>
    </row>
    <row r="22" customFormat="false" ht="15" hidden="false" customHeight="true" outlineLevel="0" collapsed="false">
      <c r="A22" s="6" t="s">
        <v>71</v>
      </c>
    </row>
    <row r="24" customFormat="false" ht="15" hidden="false" customHeight="true" outlineLevel="0" collapsed="false">
      <c r="A24" s="11" t="s">
        <v>72</v>
      </c>
    </row>
    <row r="25" customFormat="false" ht="30" hidden="false" customHeight="true" outlineLevel="0" collapsed="false">
      <c r="A25" s="7" t="s">
        <v>73</v>
      </c>
      <c r="B25" s="7" t="s">
        <v>74</v>
      </c>
      <c r="C25" s="7" t="s">
        <v>75</v>
      </c>
      <c r="D25" s="7" t="s">
        <v>76</v>
      </c>
    </row>
    <row r="26" customFormat="false" ht="15" hidden="false" customHeight="true" outlineLevel="0" collapsed="false">
      <c r="A26" s="8" t="s">
        <v>77</v>
      </c>
      <c r="B26" s="12" t="n">
        <v>1</v>
      </c>
      <c r="C26" s="12" t="n">
        <v>1.5</v>
      </c>
      <c r="D26" s="12" t="n">
        <v>1.5</v>
      </c>
    </row>
    <row r="27" customFormat="false" ht="15" hidden="false" customHeight="true" outlineLevel="0" collapsed="false">
      <c r="A27" s="8" t="s">
        <v>78</v>
      </c>
      <c r="B27" s="12" t="n">
        <v>4</v>
      </c>
      <c r="C27" s="12" t="n">
        <v>1</v>
      </c>
      <c r="D27" s="12" t="n">
        <v>4</v>
      </c>
    </row>
    <row r="28" customFormat="false" ht="15" hidden="false" customHeight="true" outlineLevel="0" collapsed="false">
      <c r="A28" s="8" t="s">
        <v>79</v>
      </c>
      <c r="B28" s="12" t="n">
        <v>2</v>
      </c>
      <c r="C28" s="12" t="n">
        <v>1</v>
      </c>
      <c r="D28" s="12" t="n">
        <v>2</v>
      </c>
    </row>
    <row r="29" customFormat="false" ht="15" hidden="false" customHeight="true" outlineLevel="0" collapsed="false">
      <c r="A29" s="13" t="s">
        <v>80</v>
      </c>
      <c r="B29" s="13"/>
      <c r="C29" s="13"/>
      <c r="D29" s="14" t="n">
        <v>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7" min="6" style="1" width="20"/>
    <col collapsed="false" customWidth="true" hidden="false" outlineLevel="0" max="8" min="8" style="1" width="8"/>
  </cols>
  <sheetData>
    <row r="1" customFormat="false" ht="15.75" hidden="false" customHeight="true" outlineLevel="0" collapsed="false">
      <c r="A1" s="5" t="s">
        <v>81</v>
      </c>
    </row>
    <row r="2" customFormat="false" ht="15" hidden="false" customHeight="true" outlineLevel="0" collapsed="false">
      <c r="A2" s="6" t="s">
        <v>82</v>
      </c>
    </row>
    <row r="4" customFormat="false" ht="30" hidden="false" customHeight="true" outlineLevel="0" collapsed="false">
      <c r="A4" s="7" t="s">
        <v>83</v>
      </c>
      <c r="B4" s="7" t="s">
        <v>32</v>
      </c>
      <c r="C4" s="7" t="s">
        <v>73</v>
      </c>
      <c r="D4" s="7" t="s">
        <v>74</v>
      </c>
      <c r="E4" s="7" t="s">
        <v>84</v>
      </c>
      <c r="F4" s="7" t="s">
        <v>85</v>
      </c>
      <c r="G4" s="7" t="s">
        <v>86</v>
      </c>
      <c r="H4" s="7" t="s">
        <v>47</v>
      </c>
    </row>
    <row r="5" customFormat="false" ht="15" hidden="false" customHeight="true" outlineLevel="0" collapsed="false">
      <c r="A5" s="8" t="s">
        <v>49</v>
      </c>
      <c r="B5" s="8" t="s">
        <v>50</v>
      </c>
      <c r="C5" s="8" t="s">
        <v>87</v>
      </c>
      <c r="D5" s="8" t="n">
        <v>1</v>
      </c>
      <c r="E5" s="12" t="n">
        <v>1.5</v>
      </c>
      <c r="F5" s="12" t="n">
        <f aca="false">D5*E5</f>
        <v>1.5</v>
      </c>
      <c r="G5" s="8" t="s">
        <v>88</v>
      </c>
      <c r="H5" s="8" t="n">
        <v>17</v>
      </c>
    </row>
    <row r="6" customFormat="false" ht="15" hidden="false" customHeight="true" outlineLevel="0" collapsed="false">
      <c r="A6" s="8" t="s">
        <v>49</v>
      </c>
      <c r="B6" s="8" t="s">
        <v>50</v>
      </c>
      <c r="C6" s="8" t="s">
        <v>89</v>
      </c>
      <c r="D6" s="8" t="n">
        <v>5</v>
      </c>
      <c r="E6" s="12" t="n">
        <v>1</v>
      </c>
      <c r="F6" s="12" t="n">
        <f aca="false">D6*E6</f>
        <v>5</v>
      </c>
      <c r="G6" s="8" t="s">
        <v>88</v>
      </c>
      <c r="H6" s="8" t="n">
        <v>17</v>
      </c>
    </row>
    <row r="7" customFormat="false" ht="15" hidden="false" customHeight="true" outlineLevel="0" collapsed="false">
      <c r="A7" s="8" t="s">
        <v>49</v>
      </c>
      <c r="B7" s="8" t="s">
        <v>50</v>
      </c>
      <c r="C7" s="8" t="s">
        <v>90</v>
      </c>
      <c r="D7" s="8" t="n">
        <v>1</v>
      </c>
      <c r="E7" s="12" t="n">
        <v>1</v>
      </c>
      <c r="F7" s="12" t="n">
        <f aca="false">D7*E7</f>
        <v>1</v>
      </c>
      <c r="G7" s="8" t="s">
        <v>88</v>
      </c>
      <c r="H7" s="8" t="n">
        <v>17</v>
      </c>
    </row>
    <row r="8" customFormat="false" ht="15" hidden="false" customHeight="true" outlineLevel="0" collapsed="false">
      <c r="A8" s="8" t="s">
        <v>49</v>
      </c>
      <c r="B8" s="8" t="s">
        <v>50</v>
      </c>
      <c r="C8" s="8" t="s">
        <v>91</v>
      </c>
      <c r="D8" s="8" t="n">
        <v>2</v>
      </c>
      <c r="E8" s="12" t="n">
        <v>1.3</v>
      </c>
      <c r="F8" s="12" t="n">
        <f aca="false">D8*E8</f>
        <v>2.6</v>
      </c>
      <c r="G8" s="8" t="s">
        <v>92</v>
      </c>
      <c r="H8" s="8" t="n">
        <v>17</v>
      </c>
    </row>
    <row r="9" customFormat="false" ht="15" hidden="false" customHeight="true" outlineLevel="0" collapsed="false">
      <c r="A9" s="8" t="s">
        <v>49</v>
      </c>
      <c r="B9" s="8" t="s">
        <v>50</v>
      </c>
      <c r="C9" s="8" t="s">
        <v>93</v>
      </c>
      <c r="D9" s="8" t="n">
        <v>1</v>
      </c>
      <c r="E9" s="12" t="n">
        <v>1.3</v>
      </c>
      <c r="F9" s="12" t="n">
        <f aca="false">D9*E9</f>
        <v>1.3</v>
      </c>
      <c r="G9" s="8" t="s">
        <v>92</v>
      </c>
      <c r="H9" s="8" t="n">
        <v>17</v>
      </c>
    </row>
    <row r="10" customFormat="false" ht="15" hidden="false" customHeight="true" outlineLevel="0" collapsed="false">
      <c r="A10" s="8" t="s">
        <v>49</v>
      </c>
      <c r="B10" s="8" t="s">
        <v>56</v>
      </c>
      <c r="C10" s="8" t="s">
        <v>94</v>
      </c>
      <c r="D10" s="8" t="n">
        <v>1</v>
      </c>
      <c r="E10" s="12" t="n">
        <v>2</v>
      </c>
      <c r="F10" s="12" t="n">
        <f aca="false">D10*E10</f>
        <v>2</v>
      </c>
      <c r="G10" s="8" t="s">
        <v>88</v>
      </c>
      <c r="H10" s="8" t="n">
        <v>17</v>
      </c>
    </row>
    <row r="11" customFormat="false" ht="15" hidden="false" customHeight="true" outlineLevel="0" collapsed="false">
      <c r="A11" s="8" t="s">
        <v>49</v>
      </c>
      <c r="B11" s="8" t="s">
        <v>56</v>
      </c>
      <c r="C11" s="8" t="s">
        <v>95</v>
      </c>
      <c r="D11" s="8" t="n">
        <v>1</v>
      </c>
      <c r="E11" s="12" t="n">
        <v>1.15</v>
      </c>
      <c r="F11" s="12" t="n">
        <f aca="false">D11*E11</f>
        <v>1.15</v>
      </c>
      <c r="G11" s="8" t="s">
        <v>88</v>
      </c>
      <c r="H11" s="8" t="n">
        <v>17</v>
      </c>
    </row>
    <row r="12" customFormat="false" ht="15" hidden="false" customHeight="true" outlineLevel="0" collapsed="false">
      <c r="A12" s="8" t="s">
        <v>49</v>
      </c>
      <c r="B12" s="8" t="s">
        <v>56</v>
      </c>
      <c r="C12" s="8" t="s">
        <v>96</v>
      </c>
      <c r="D12" s="8" t="n">
        <v>1</v>
      </c>
      <c r="E12" s="12" t="n">
        <v>1</v>
      </c>
      <c r="F12" s="12" t="n">
        <f aca="false">D12*E12</f>
        <v>1</v>
      </c>
      <c r="G12" s="8" t="s">
        <v>88</v>
      </c>
      <c r="H12" s="8" t="n">
        <v>17</v>
      </c>
    </row>
    <row r="13" customFormat="false" ht="15" hidden="false" customHeight="true" outlineLevel="0" collapsed="false">
      <c r="A13" s="8" t="s">
        <v>49</v>
      </c>
      <c r="B13" s="8" t="s">
        <v>56</v>
      </c>
      <c r="C13" s="8" t="s">
        <v>92</v>
      </c>
      <c r="D13" s="8" t="n">
        <v>1</v>
      </c>
      <c r="E13" s="12" t="n">
        <v>1</v>
      </c>
      <c r="F13" s="12" t="n">
        <f aca="false">D13*E13</f>
        <v>1</v>
      </c>
      <c r="G13" s="8" t="s">
        <v>92</v>
      </c>
      <c r="H13" s="8" t="n">
        <v>17</v>
      </c>
    </row>
    <row r="14" customFormat="false" ht="15" hidden="false" customHeight="true" outlineLevel="0" collapsed="false">
      <c r="A14" s="8" t="s">
        <v>54</v>
      </c>
      <c r="B14" s="8" t="s">
        <v>50</v>
      </c>
      <c r="C14" s="8" t="s">
        <v>87</v>
      </c>
      <c r="D14" s="8" t="n">
        <v>1</v>
      </c>
      <c r="E14" s="12" t="n">
        <v>1.5</v>
      </c>
      <c r="F14" s="12" t="n">
        <f aca="false">D14*E14</f>
        <v>1.5</v>
      </c>
      <c r="G14" s="8" t="s">
        <v>88</v>
      </c>
      <c r="H14" s="8" t="n">
        <v>17</v>
      </c>
    </row>
    <row r="15" customFormat="false" ht="15" hidden="false" customHeight="true" outlineLevel="0" collapsed="false">
      <c r="A15" s="8" t="s">
        <v>54</v>
      </c>
      <c r="B15" s="8" t="s">
        <v>50</v>
      </c>
      <c r="C15" s="8" t="s">
        <v>89</v>
      </c>
      <c r="D15" s="8" t="n">
        <v>5</v>
      </c>
      <c r="E15" s="12" t="n">
        <v>1</v>
      </c>
      <c r="F15" s="12" t="n">
        <f aca="false">D15*E15</f>
        <v>5</v>
      </c>
      <c r="G15" s="8" t="s">
        <v>88</v>
      </c>
      <c r="H15" s="8" t="n">
        <v>17</v>
      </c>
    </row>
    <row r="16" customFormat="false" ht="15" hidden="false" customHeight="true" outlineLevel="0" collapsed="false">
      <c r="A16" s="8" t="s">
        <v>54</v>
      </c>
      <c r="B16" s="8" t="s">
        <v>50</v>
      </c>
      <c r="C16" s="8" t="s">
        <v>90</v>
      </c>
      <c r="D16" s="8" t="n">
        <v>1</v>
      </c>
      <c r="E16" s="12" t="n">
        <v>1</v>
      </c>
      <c r="F16" s="12" t="n">
        <f aca="false">D16*E16</f>
        <v>1</v>
      </c>
      <c r="G16" s="8" t="s">
        <v>88</v>
      </c>
      <c r="H16" s="8" t="n">
        <v>17</v>
      </c>
    </row>
    <row r="17" customFormat="false" ht="15" hidden="false" customHeight="true" outlineLevel="0" collapsed="false">
      <c r="A17" s="8" t="s">
        <v>54</v>
      </c>
      <c r="B17" s="8" t="s">
        <v>50</v>
      </c>
      <c r="C17" s="8" t="s">
        <v>91</v>
      </c>
      <c r="D17" s="8" t="n">
        <v>2</v>
      </c>
      <c r="E17" s="12" t="n">
        <v>1.3</v>
      </c>
      <c r="F17" s="12" t="n">
        <f aca="false">D17*E17</f>
        <v>2.6</v>
      </c>
      <c r="G17" s="8" t="s">
        <v>92</v>
      </c>
      <c r="H17" s="8" t="n">
        <v>17</v>
      </c>
    </row>
    <row r="18" customFormat="false" ht="15" hidden="false" customHeight="true" outlineLevel="0" collapsed="false">
      <c r="A18" s="8" t="s">
        <v>54</v>
      </c>
      <c r="B18" s="8" t="s">
        <v>50</v>
      </c>
      <c r="C18" s="8" t="s">
        <v>93</v>
      </c>
      <c r="D18" s="8" t="n">
        <v>1</v>
      </c>
      <c r="E18" s="12" t="n">
        <v>1.3</v>
      </c>
      <c r="F18" s="12" t="n">
        <f aca="false">D18*E18</f>
        <v>1.3</v>
      </c>
      <c r="G18" s="8" t="s">
        <v>92</v>
      </c>
      <c r="H18" s="8" t="n">
        <v>17</v>
      </c>
    </row>
    <row r="19" customFormat="false" ht="15" hidden="false" customHeight="true" outlineLevel="0" collapsed="false">
      <c r="A19" s="8" t="s">
        <v>54</v>
      </c>
      <c r="B19" s="8" t="s">
        <v>56</v>
      </c>
      <c r="C19" s="8" t="s">
        <v>94</v>
      </c>
      <c r="D19" s="8" t="n">
        <v>1</v>
      </c>
      <c r="E19" s="12" t="n">
        <v>2</v>
      </c>
      <c r="F19" s="12" t="n">
        <f aca="false">D19*E19</f>
        <v>2</v>
      </c>
      <c r="G19" s="8" t="s">
        <v>88</v>
      </c>
      <c r="H19" s="8" t="n">
        <v>17</v>
      </c>
    </row>
    <row r="20" customFormat="false" ht="15" hidden="false" customHeight="true" outlineLevel="0" collapsed="false">
      <c r="A20" s="8" t="s">
        <v>54</v>
      </c>
      <c r="B20" s="8" t="s">
        <v>56</v>
      </c>
      <c r="C20" s="8" t="s">
        <v>95</v>
      </c>
      <c r="D20" s="8" t="n">
        <v>1</v>
      </c>
      <c r="E20" s="12" t="n">
        <v>1.15</v>
      </c>
      <c r="F20" s="12" t="n">
        <f aca="false">D20*E20</f>
        <v>1.15</v>
      </c>
      <c r="G20" s="8" t="s">
        <v>88</v>
      </c>
      <c r="H20" s="8" t="n">
        <v>17</v>
      </c>
    </row>
    <row r="21" customFormat="false" ht="15" hidden="false" customHeight="true" outlineLevel="0" collapsed="false">
      <c r="A21" s="8" t="s">
        <v>54</v>
      </c>
      <c r="B21" s="8" t="s">
        <v>56</v>
      </c>
      <c r="C21" s="8" t="s">
        <v>96</v>
      </c>
      <c r="D21" s="8" t="n">
        <v>1</v>
      </c>
      <c r="E21" s="12" t="n">
        <v>1</v>
      </c>
      <c r="F21" s="12" t="n">
        <f aca="false">D21*E21</f>
        <v>1</v>
      </c>
      <c r="G21" s="8" t="s">
        <v>88</v>
      </c>
      <c r="H21" s="8" t="n">
        <v>17</v>
      </c>
    </row>
    <row r="22" customFormat="false" ht="15" hidden="false" customHeight="true" outlineLevel="0" collapsed="false">
      <c r="A22" s="8" t="s">
        <v>54</v>
      </c>
      <c r="B22" s="8" t="s">
        <v>56</v>
      </c>
      <c r="C22" s="8" t="s">
        <v>92</v>
      </c>
      <c r="D22" s="8" t="n">
        <v>1</v>
      </c>
      <c r="E22" s="12" t="n">
        <v>1</v>
      </c>
      <c r="F22" s="12" t="n">
        <f aca="false">D22*E22</f>
        <v>1</v>
      </c>
      <c r="G22" s="8" t="s">
        <v>92</v>
      </c>
      <c r="H22" s="8" t="n">
        <v>17</v>
      </c>
    </row>
    <row r="23" customFormat="false" ht="15" hidden="false" customHeight="true" outlineLevel="0" collapsed="false">
      <c r="A23" s="8" t="s">
        <v>97</v>
      </c>
      <c r="B23" s="8" t="s">
        <v>50</v>
      </c>
      <c r="C23" s="8" t="s">
        <v>87</v>
      </c>
      <c r="D23" s="8" t="n">
        <v>1</v>
      </c>
      <c r="E23" s="12" t="n">
        <v>1.5</v>
      </c>
      <c r="F23" s="12" t="n">
        <f aca="false">D23*E23</f>
        <v>1.5</v>
      </c>
      <c r="G23" s="8" t="s">
        <v>88</v>
      </c>
      <c r="H23" s="8" t="n">
        <v>17</v>
      </c>
    </row>
    <row r="24" customFormat="false" ht="15" hidden="false" customHeight="true" outlineLevel="0" collapsed="false">
      <c r="A24" s="8" t="s">
        <v>97</v>
      </c>
      <c r="B24" s="8" t="s">
        <v>50</v>
      </c>
      <c r="C24" s="8" t="s">
        <v>89</v>
      </c>
      <c r="D24" s="8" t="n">
        <v>5</v>
      </c>
      <c r="E24" s="12" t="n">
        <v>1</v>
      </c>
      <c r="F24" s="12" t="n">
        <f aca="false">D24*E24</f>
        <v>5</v>
      </c>
      <c r="G24" s="8" t="s">
        <v>88</v>
      </c>
      <c r="H24" s="8" t="n">
        <v>17</v>
      </c>
    </row>
    <row r="25" customFormat="false" ht="15" hidden="false" customHeight="true" outlineLevel="0" collapsed="false">
      <c r="A25" s="8" t="s">
        <v>97</v>
      </c>
      <c r="B25" s="8" t="s">
        <v>50</v>
      </c>
      <c r="C25" s="8" t="s">
        <v>90</v>
      </c>
      <c r="D25" s="8" t="n">
        <v>1</v>
      </c>
      <c r="E25" s="12" t="n">
        <v>1</v>
      </c>
      <c r="F25" s="12" t="n">
        <f aca="false">D25*E25</f>
        <v>1</v>
      </c>
      <c r="G25" s="8" t="s">
        <v>88</v>
      </c>
      <c r="H25" s="8" t="n">
        <v>17</v>
      </c>
    </row>
    <row r="26" customFormat="false" ht="15" hidden="false" customHeight="true" outlineLevel="0" collapsed="false">
      <c r="A26" s="8" t="s">
        <v>97</v>
      </c>
      <c r="B26" s="8" t="s">
        <v>50</v>
      </c>
      <c r="C26" s="8" t="s">
        <v>91</v>
      </c>
      <c r="D26" s="8" t="n">
        <v>2</v>
      </c>
      <c r="E26" s="12" t="n">
        <v>1.3</v>
      </c>
      <c r="F26" s="12" t="n">
        <f aca="false">D26*E26</f>
        <v>2.6</v>
      </c>
      <c r="G26" s="8" t="s">
        <v>92</v>
      </c>
      <c r="H26" s="8" t="n">
        <v>17</v>
      </c>
    </row>
    <row r="27" customFormat="false" ht="15" hidden="false" customHeight="true" outlineLevel="0" collapsed="false">
      <c r="A27" s="8" t="s">
        <v>97</v>
      </c>
      <c r="B27" s="8" t="s">
        <v>50</v>
      </c>
      <c r="C27" s="8" t="s">
        <v>93</v>
      </c>
      <c r="D27" s="8" t="n">
        <v>1</v>
      </c>
      <c r="E27" s="12" t="n">
        <v>1.3</v>
      </c>
      <c r="F27" s="12" t="n">
        <f aca="false">D27*E27</f>
        <v>1.3</v>
      </c>
      <c r="G27" s="8" t="s">
        <v>92</v>
      </c>
      <c r="H27" s="8" t="n">
        <v>17</v>
      </c>
    </row>
    <row r="28" customFormat="false" ht="15" hidden="false" customHeight="true" outlineLevel="0" collapsed="false">
      <c r="A28" s="8" t="s">
        <v>97</v>
      </c>
      <c r="B28" s="8" t="s">
        <v>56</v>
      </c>
      <c r="C28" s="8" t="s">
        <v>94</v>
      </c>
      <c r="D28" s="8" t="n">
        <v>1</v>
      </c>
      <c r="E28" s="12" t="n">
        <v>2.5</v>
      </c>
      <c r="F28" s="12" t="n">
        <f aca="false">D28*E28</f>
        <v>2.5</v>
      </c>
      <c r="G28" s="8" t="s">
        <v>88</v>
      </c>
      <c r="H28" s="8" t="n">
        <v>17</v>
      </c>
    </row>
    <row r="29" customFormat="false" ht="15" hidden="false" customHeight="true" outlineLevel="0" collapsed="false">
      <c r="A29" s="8" t="s">
        <v>97</v>
      </c>
      <c r="B29" s="8" t="s">
        <v>56</v>
      </c>
      <c r="C29" s="8" t="s">
        <v>96</v>
      </c>
      <c r="D29" s="8" t="n">
        <v>1</v>
      </c>
      <c r="E29" s="12" t="n">
        <v>1.25</v>
      </c>
      <c r="F29" s="12" t="n">
        <f aca="false">D29*E29</f>
        <v>1.25</v>
      </c>
      <c r="G29" s="8" t="s">
        <v>88</v>
      </c>
      <c r="H29" s="8" t="n">
        <v>17</v>
      </c>
    </row>
    <row r="30" customFormat="false" ht="15" hidden="false" customHeight="true" outlineLevel="0" collapsed="false">
      <c r="A30" s="8" t="s">
        <v>97</v>
      </c>
      <c r="B30" s="8" t="s">
        <v>56</v>
      </c>
      <c r="C30" s="8" t="s">
        <v>92</v>
      </c>
      <c r="D30" s="8" t="n">
        <v>1</v>
      </c>
      <c r="E30" s="12" t="n">
        <v>1</v>
      </c>
      <c r="F30" s="12" t="n">
        <f aca="false">D30*E30</f>
        <v>1</v>
      </c>
      <c r="G30" s="8" t="s">
        <v>92</v>
      </c>
      <c r="H30" s="8" t="n">
        <v>17</v>
      </c>
    </row>
    <row r="31" customFormat="false" ht="15" hidden="false" customHeight="true" outlineLevel="0" collapsed="false">
      <c r="A31" s="8" t="s">
        <v>98</v>
      </c>
      <c r="B31" s="8" t="s">
        <v>50</v>
      </c>
      <c r="C31" s="8" t="s">
        <v>87</v>
      </c>
      <c r="D31" s="8" t="n">
        <v>1</v>
      </c>
      <c r="E31" s="12" t="n">
        <v>1.5</v>
      </c>
      <c r="F31" s="12" t="n">
        <f aca="false">D31*E31</f>
        <v>1.5</v>
      </c>
      <c r="G31" s="8" t="s">
        <v>88</v>
      </c>
      <c r="H31" s="8" t="n">
        <v>17</v>
      </c>
    </row>
    <row r="32" customFormat="false" ht="15" hidden="false" customHeight="true" outlineLevel="0" collapsed="false">
      <c r="A32" s="8" t="s">
        <v>98</v>
      </c>
      <c r="B32" s="8" t="s">
        <v>50</v>
      </c>
      <c r="C32" s="8" t="s">
        <v>89</v>
      </c>
      <c r="D32" s="8" t="n">
        <v>8</v>
      </c>
      <c r="E32" s="12" t="n">
        <v>1</v>
      </c>
      <c r="F32" s="12" t="n">
        <f aca="false">D32*E32</f>
        <v>8</v>
      </c>
      <c r="G32" s="8" t="s">
        <v>88</v>
      </c>
      <c r="H32" s="8" t="n">
        <v>17</v>
      </c>
    </row>
    <row r="33" customFormat="false" ht="15" hidden="false" customHeight="true" outlineLevel="0" collapsed="false">
      <c r="A33" s="8" t="s">
        <v>98</v>
      </c>
      <c r="B33" s="8" t="s">
        <v>50</v>
      </c>
      <c r="C33" s="8" t="s">
        <v>90</v>
      </c>
      <c r="D33" s="8" t="n">
        <v>1</v>
      </c>
      <c r="E33" s="12" t="n">
        <v>1</v>
      </c>
      <c r="F33" s="12" t="n">
        <f aca="false">D33*E33</f>
        <v>1</v>
      </c>
      <c r="G33" s="8" t="s">
        <v>88</v>
      </c>
      <c r="H33" s="8" t="n">
        <v>17</v>
      </c>
    </row>
    <row r="34" customFormat="false" ht="15" hidden="false" customHeight="true" outlineLevel="0" collapsed="false">
      <c r="A34" s="8" t="s">
        <v>98</v>
      </c>
      <c r="B34" s="8" t="s">
        <v>50</v>
      </c>
      <c r="C34" s="8" t="s">
        <v>93</v>
      </c>
      <c r="D34" s="8" t="n">
        <v>1</v>
      </c>
      <c r="E34" s="12" t="n">
        <v>1.3</v>
      </c>
      <c r="F34" s="12" t="n">
        <f aca="false">D34*E34</f>
        <v>1.3</v>
      </c>
      <c r="G34" s="8" t="s">
        <v>92</v>
      </c>
      <c r="H34" s="8" t="n">
        <v>17</v>
      </c>
    </row>
    <row r="35" customFormat="false" ht="15" hidden="false" customHeight="true" outlineLevel="0" collapsed="false">
      <c r="A35" s="8" t="s">
        <v>98</v>
      </c>
      <c r="B35" s="8" t="s">
        <v>50</v>
      </c>
      <c r="C35" s="8" t="s">
        <v>99</v>
      </c>
      <c r="D35" s="8" t="n">
        <v>1</v>
      </c>
      <c r="E35" s="12" t="n">
        <v>1.3</v>
      </c>
      <c r="F35" s="12" t="n">
        <f aca="false">D35*E35</f>
        <v>1.3</v>
      </c>
      <c r="G35" s="8" t="s">
        <v>92</v>
      </c>
      <c r="H35" s="8" t="n">
        <v>17</v>
      </c>
    </row>
    <row r="36" customFormat="false" ht="15" hidden="false" customHeight="true" outlineLevel="0" collapsed="false">
      <c r="A36" s="8" t="s">
        <v>98</v>
      </c>
      <c r="B36" s="8" t="s">
        <v>56</v>
      </c>
      <c r="C36" s="8" t="s">
        <v>94</v>
      </c>
      <c r="D36" s="8" t="n">
        <v>1</v>
      </c>
      <c r="E36" s="12" t="n">
        <v>2</v>
      </c>
      <c r="F36" s="12" t="n">
        <f aca="false">D36*E36</f>
        <v>2</v>
      </c>
      <c r="G36" s="8" t="s">
        <v>88</v>
      </c>
      <c r="H36" s="8" t="n">
        <v>17</v>
      </c>
    </row>
    <row r="37" customFormat="false" ht="15" hidden="false" customHeight="true" outlineLevel="0" collapsed="false">
      <c r="A37" s="8" t="s">
        <v>98</v>
      </c>
      <c r="B37" s="8" t="s">
        <v>56</v>
      </c>
      <c r="C37" s="8" t="s">
        <v>95</v>
      </c>
      <c r="D37" s="8" t="n">
        <v>1</v>
      </c>
      <c r="E37" s="12" t="n">
        <v>1.15</v>
      </c>
      <c r="F37" s="12" t="n">
        <f aca="false">D37*E37</f>
        <v>1.15</v>
      </c>
      <c r="G37" s="8" t="s">
        <v>88</v>
      </c>
      <c r="H37" s="8" t="n">
        <v>17</v>
      </c>
    </row>
    <row r="38" customFormat="false" ht="15" hidden="false" customHeight="true" outlineLevel="0" collapsed="false">
      <c r="A38" s="8" t="s">
        <v>98</v>
      </c>
      <c r="B38" s="8" t="s">
        <v>56</v>
      </c>
      <c r="C38" s="8" t="s">
        <v>100</v>
      </c>
      <c r="D38" s="8" t="n">
        <v>1</v>
      </c>
      <c r="E38" s="12" t="n">
        <v>1.15</v>
      </c>
      <c r="F38" s="12" t="n">
        <f aca="false">D38*E38</f>
        <v>1.15</v>
      </c>
      <c r="G38" s="8" t="s">
        <v>88</v>
      </c>
      <c r="H38" s="8" t="n">
        <v>17</v>
      </c>
    </row>
    <row r="39" customFormat="false" ht="15" hidden="false" customHeight="true" outlineLevel="0" collapsed="false">
      <c r="A39" s="8" t="s">
        <v>98</v>
      </c>
      <c r="B39" s="8" t="s">
        <v>56</v>
      </c>
      <c r="C39" s="8" t="s">
        <v>96</v>
      </c>
      <c r="D39" s="8" t="n">
        <v>1</v>
      </c>
      <c r="E39" s="12" t="n">
        <v>1</v>
      </c>
      <c r="F39" s="12" t="n">
        <f aca="false">D39*E39</f>
        <v>1</v>
      </c>
      <c r="G39" s="8" t="s">
        <v>88</v>
      </c>
      <c r="H39" s="8" t="n">
        <v>17</v>
      </c>
    </row>
    <row r="40" customFormat="false" ht="15" hidden="false" customHeight="true" outlineLevel="0" collapsed="false">
      <c r="A40" s="8" t="s">
        <v>98</v>
      </c>
      <c r="B40" s="8" t="s">
        <v>56</v>
      </c>
      <c r="C40" s="8" t="s">
        <v>92</v>
      </c>
      <c r="D40" s="8" t="n">
        <v>1</v>
      </c>
      <c r="E40" s="12" t="n">
        <v>1</v>
      </c>
      <c r="F40" s="12" t="n">
        <f aca="false">D40*E40</f>
        <v>1</v>
      </c>
      <c r="G40" s="8" t="s">
        <v>92</v>
      </c>
      <c r="H40" s="8" t="n">
        <v>17</v>
      </c>
    </row>
    <row r="41" customFormat="false" ht="15" hidden="false" customHeight="true" outlineLevel="0" collapsed="false">
      <c r="A41" s="8" t="s">
        <v>101</v>
      </c>
      <c r="B41" s="8" t="s">
        <v>50</v>
      </c>
      <c r="C41" s="8" t="s">
        <v>87</v>
      </c>
      <c r="D41" s="8" t="n">
        <v>1</v>
      </c>
      <c r="E41" s="12" t="n">
        <v>1.5</v>
      </c>
      <c r="F41" s="12" t="n">
        <f aca="false">D41*E41</f>
        <v>1.5</v>
      </c>
      <c r="G41" s="8" t="s">
        <v>88</v>
      </c>
      <c r="H41" s="8" t="n">
        <v>17</v>
      </c>
    </row>
    <row r="42" customFormat="false" ht="15" hidden="false" customHeight="true" outlineLevel="0" collapsed="false">
      <c r="A42" s="8" t="s">
        <v>101</v>
      </c>
      <c r="B42" s="8" t="s">
        <v>50</v>
      </c>
      <c r="C42" s="8" t="s">
        <v>78</v>
      </c>
      <c r="D42" s="8" t="n">
        <v>1</v>
      </c>
      <c r="E42" s="12" t="n">
        <v>1</v>
      </c>
      <c r="F42" s="12" t="n">
        <f aca="false">D42*E42</f>
        <v>1</v>
      </c>
      <c r="G42" s="8" t="s">
        <v>88</v>
      </c>
      <c r="H42" s="8" t="n">
        <v>17</v>
      </c>
    </row>
    <row r="43" customFormat="false" ht="15" hidden="false" customHeight="true" outlineLevel="0" collapsed="false">
      <c r="A43" s="8" t="s">
        <v>101</v>
      </c>
      <c r="B43" s="8" t="s">
        <v>50</v>
      </c>
      <c r="C43" s="8" t="s">
        <v>102</v>
      </c>
      <c r="D43" s="8" t="n">
        <v>1</v>
      </c>
      <c r="E43" s="12" t="n">
        <v>1</v>
      </c>
      <c r="F43" s="12" t="n">
        <f aca="false">D43*E43</f>
        <v>1</v>
      </c>
      <c r="G43" s="8" t="s">
        <v>88</v>
      </c>
      <c r="H43" s="8" t="n">
        <v>17</v>
      </c>
    </row>
    <row r="44" customFormat="false" ht="15" hidden="false" customHeight="true" outlineLevel="0" collapsed="false">
      <c r="A44" s="8" t="s">
        <v>101</v>
      </c>
      <c r="B44" s="8" t="s">
        <v>50</v>
      </c>
      <c r="C44" s="8" t="s">
        <v>91</v>
      </c>
      <c r="D44" s="8" t="n">
        <v>2</v>
      </c>
      <c r="E44" s="12" t="n">
        <v>2</v>
      </c>
      <c r="F44" s="12" t="n">
        <f aca="false">D44*E44</f>
        <v>4</v>
      </c>
      <c r="G44" s="8" t="s">
        <v>92</v>
      </c>
      <c r="H44" s="8" t="n">
        <v>17</v>
      </c>
    </row>
    <row r="45" customFormat="false" ht="15" hidden="false" customHeight="true" outlineLevel="0" collapsed="false">
      <c r="A45" s="8" t="s">
        <v>103</v>
      </c>
      <c r="B45" s="8" t="s">
        <v>50</v>
      </c>
      <c r="C45" s="8" t="s">
        <v>87</v>
      </c>
      <c r="D45" s="8" t="n">
        <v>1</v>
      </c>
      <c r="E45" s="12" t="n">
        <v>1.5</v>
      </c>
      <c r="F45" s="12" t="n">
        <f aca="false">D45*E45</f>
        <v>1.5</v>
      </c>
      <c r="G45" s="8" t="s">
        <v>88</v>
      </c>
      <c r="H45" s="8" t="n">
        <v>17</v>
      </c>
    </row>
    <row r="46" customFormat="false" ht="15" hidden="false" customHeight="true" outlineLevel="0" collapsed="false">
      <c r="A46" s="8" t="s">
        <v>103</v>
      </c>
      <c r="B46" s="8" t="s">
        <v>50</v>
      </c>
      <c r="C46" s="8" t="s">
        <v>78</v>
      </c>
      <c r="D46" s="8" t="n">
        <v>1</v>
      </c>
      <c r="E46" s="12" t="n">
        <v>1</v>
      </c>
      <c r="F46" s="12" t="n">
        <f aca="false">D46*E46</f>
        <v>1</v>
      </c>
      <c r="G46" s="8" t="s">
        <v>88</v>
      </c>
      <c r="H46" s="8" t="n">
        <v>17</v>
      </c>
    </row>
    <row r="47" customFormat="false" ht="15" hidden="false" customHeight="true" outlineLevel="0" collapsed="false">
      <c r="A47" s="8" t="s">
        <v>103</v>
      </c>
      <c r="B47" s="8" t="s">
        <v>50</v>
      </c>
      <c r="C47" s="8" t="s">
        <v>102</v>
      </c>
      <c r="D47" s="8" t="n">
        <v>1</v>
      </c>
      <c r="E47" s="12" t="n">
        <v>1</v>
      </c>
      <c r="F47" s="12" t="n">
        <f aca="false">D47*E47</f>
        <v>1</v>
      </c>
      <c r="G47" s="8" t="s">
        <v>88</v>
      </c>
      <c r="H47" s="8" t="n">
        <v>17</v>
      </c>
    </row>
    <row r="48" customFormat="false" ht="15" hidden="false" customHeight="true" outlineLevel="0" collapsed="false">
      <c r="A48" s="8" t="s">
        <v>103</v>
      </c>
      <c r="B48" s="8" t="s">
        <v>50</v>
      </c>
      <c r="C48" s="8" t="s">
        <v>91</v>
      </c>
      <c r="D48" s="8" t="n">
        <v>2</v>
      </c>
      <c r="E48" s="12" t="n">
        <v>2</v>
      </c>
      <c r="F48" s="12" t="n">
        <f aca="false">D48*E48</f>
        <v>4</v>
      </c>
      <c r="G48" s="8" t="s">
        <v>92</v>
      </c>
      <c r="H48" s="8" t="n">
        <v>17</v>
      </c>
    </row>
    <row r="49" customFormat="false" ht="15" hidden="false" customHeight="true" outlineLevel="0" collapsed="false">
      <c r="A49" s="8" t="s">
        <v>103</v>
      </c>
      <c r="B49" s="8" t="s">
        <v>50</v>
      </c>
      <c r="C49" s="8" t="s">
        <v>104</v>
      </c>
      <c r="D49" s="8" t="n">
        <v>2</v>
      </c>
      <c r="E49" s="12" t="n">
        <v>2</v>
      </c>
      <c r="F49" s="12" t="n">
        <f aca="false">D49*E49</f>
        <v>4</v>
      </c>
      <c r="G49" s="8" t="s">
        <v>92</v>
      </c>
      <c r="H49" s="8" t="n">
        <v>17</v>
      </c>
    </row>
    <row r="50" customFormat="false" ht="15" hidden="false" customHeight="true" outlineLevel="0" collapsed="false">
      <c r="A50" s="8" t="s">
        <v>105</v>
      </c>
      <c r="B50" s="8" t="s">
        <v>50</v>
      </c>
      <c r="C50" s="8" t="s">
        <v>87</v>
      </c>
      <c r="D50" s="8" t="n">
        <v>1</v>
      </c>
      <c r="E50" s="12" t="n">
        <v>1.5</v>
      </c>
      <c r="F50" s="12" t="n">
        <f aca="false">D50*E50</f>
        <v>1.5</v>
      </c>
      <c r="G50" s="8" t="s">
        <v>88</v>
      </c>
      <c r="H50" s="8" t="n">
        <v>17</v>
      </c>
    </row>
    <row r="51" customFormat="false" ht="15" hidden="false" customHeight="true" outlineLevel="0" collapsed="false">
      <c r="A51" s="8" t="s">
        <v>105</v>
      </c>
      <c r="B51" s="8" t="s">
        <v>50</v>
      </c>
      <c r="C51" s="8" t="s">
        <v>78</v>
      </c>
      <c r="D51" s="8" t="n">
        <v>3</v>
      </c>
      <c r="E51" s="12" t="n">
        <v>1</v>
      </c>
      <c r="F51" s="12" t="n">
        <f aca="false">D51*E51</f>
        <v>3</v>
      </c>
      <c r="G51" s="8" t="s">
        <v>88</v>
      </c>
      <c r="H51" s="8" t="n">
        <v>17</v>
      </c>
    </row>
    <row r="52" customFormat="false" ht="15" hidden="false" customHeight="true" outlineLevel="0" collapsed="false">
      <c r="A52" s="8" t="s">
        <v>105</v>
      </c>
      <c r="B52" s="8" t="s">
        <v>50</v>
      </c>
      <c r="C52" s="8" t="s">
        <v>102</v>
      </c>
      <c r="D52" s="8" t="n">
        <v>1</v>
      </c>
      <c r="E52" s="12" t="n">
        <v>1</v>
      </c>
      <c r="F52" s="12" t="n">
        <f aca="false">D52*E52</f>
        <v>1</v>
      </c>
      <c r="G52" s="8" t="s">
        <v>88</v>
      </c>
      <c r="H52" s="8" t="n">
        <v>17</v>
      </c>
    </row>
    <row r="53" customFormat="false" ht="15" hidden="false" customHeight="true" outlineLevel="0" collapsed="false">
      <c r="A53" s="8" t="s">
        <v>105</v>
      </c>
      <c r="B53" s="8" t="s">
        <v>50</v>
      </c>
      <c r="C53" s="8" t="s">
        <v>91</v>
      </c>
      <c r="D53" s="8" t="n">
        <v>2</v>
      </c>
      <c r="E53" s="12" t="n">
        <v>2</v>
      </c>
      <c r="F53" s="12" t="n">
        <f aca="false">D53*E53</f>
        <v>4</v>
      </c>
      <c r="G53" s="8" t="s">
        <v>92</v>
      </c>
      <c r="H53" s="8" t="n">
        <v>17</v>
      </c>
    </row>
    <row r="54" customFormat="false" ht="15" hidden="false" customHeight="true" outlineLevel="0" collapsed="false">
      <c r="A54" s="8" t="s">
        <v>105</v>
      </c>
      <c r="B54" s="8" t="s">
        <v>50</v>
      </c>
      <c r="C54" s="8" t="s">
        <v>104</v>
      </c>
      <c r="D54" s="8" t="n">
        <v>2</v>
      </c>
      <c r="E54" s="12" t="n">
        <v>2</v>
      </c>
      <c r="F54" s="12" t="n">
        <f aca="false">D54*E54</f>
        <v>4</v>
      </c>
      <c r="G54" s="8" t="s">
        <v>92</v>
      </c>
      <c r="H54" s="8" t="n">
        <v>17</v>
      </c>
    </row>
    <row r="55" customFormat="false" ht="15" hidden="false" customHeight="true" outlineLevel="0" collapsed="false">
      <c r="A55" s="8" t="s">
        <v>106</v>
      </c>
      <c r="B55" s="8" t="s">
        <v>50</v>
      </c>
      <c r="C55" s="8" t="s">
        <v>87</v>
      </c>
      <c r="D55" s="8" t="n">
        <v>1</v>
      </c>
      <c r="E55" s="12" t="n">
        <v>1.5</v>
      </c>
      <c r="F55" s="12" t="n">
        <f aca="false">D55*E55</f>
        <v>1.5</v>
      </c>
      <c r="G55" s="8" t="s">
        <v>88</v>
      </c>
      <c r="H55" s="8" t="n">
        <v>17</v>
      </c>
    </row>
    <row r="56" customFormat="false" ht="15" hidden="false" customHeight="true" outlineLevel="0" collapsed="false">
      <c r="A56" s="8" t="s">
        <v>106</v>
      </c>
      <c r="B56" s="8" t="s">
        <v>50</v>
      </c>
      <c r="C56" s="8" t="s">
        <v>78</v>
      </c>
      <c r="D56" s="8" t="n">
        <v>5</v>
      </c>
      <c r="E56" s="12" t="n">
        <v>1</v>
      </c>
      <c r="F56" s="12" t="n">
        <f aca="false">D56*E56</f>
        <v>5</v>
      </c>
      <c r="G56" s="8" t="s">
        <v>88</v>
      </c>
      <c r="H56" s="8" t="n">
        <v>17</v>
      </c>
    </row>
    <row r="57" customFormat="false" ht="15" hidden="false" customHeight="true" outlineLevel="0" collapsed="false">
      <c r="A57" s="8" t="s">
        <v>106</v>
      </c>
      <c r="B57" s="8" t="s">
        <v>50</v>
      </c>
      <c r="C57" s="8" t="s">
        <v>102</v>
      </c>
      <c r="D57" s="8" t="n">
        <v>1</v>
      </c>
      <c r="E57" s="12" t="n">
        <v>1</v>
      </c>
      <c r="F57" s="12" t="n">
        <f aca="false">D57*E57</f>
        <v>1</v>
      </c>
      <c r="G57" s="8" t="s">
        <v>88</v>
      </c>
      <c r="H57" s="8" t="n">
        <v>17</v>
      </c>
    </row>
    <row r="58" customFormat="false" ht="15" hidden="false" customHeight="true" outlineLevel="0" collapsed="false">
      <c r="A58" s="8" t="s">
        <v>106</v>
      </c>
      <c r="B58" s="8" t="s">
        <v>50</v>
      </c>
      <c r="C58" s="8" t="s">
        <v>91</v>
      </c>
      <c r="D58" s="8" t="n">
        <v>2</v>
      </c>
      <c r="E58" s="12" t="n">
        <v>2</v>
      </c>
      <c r="F58" s="12" t="n">
        <f aca="false">D58*E58</f>
        <v>4</v>
      </c>
      <c r="G58" s="8" t="s">
        <v>92</v>
      </c>
      <c r="H58" s="8" t="n">
        <v>17</v>
      </c>
    </row>
    <row r="59" customFormat="false" ht="15" hidden="false" customHeight="true" outlineLevel="0" collapsed="false">
      <c r="A59" s="8" t="s">
        <v>106</v>
      </c>
      <c r="B59" s="8" t="s">
        <v>50</v>
      </c>
      <c r="C59" s="8" t="s">
        <v>104</v>
      </c>
      <c r="D59" s="8" t="n">
        <v>2</v>
      </c>
      <c r="E59" s="12" t="n">
        <v>2</v>
      </c>
      <c r="F59" s="12" t="n">
        <f aca="false">D59*E59</f>
        <v>4</v>
      </c>
      <c r="G59" s="8" t="s">
        <v>92</v>
      </c>
      <c r="H59" s="8" t="n">
        <v>17</v>
      </c>
    </row>
    <row r="60" customFormat="false" ht="15" hidden="false" customHeight="true" outlineLevel="0" collapsed="false">
      <c r="A60" s="8" t="s">
        <v>107</v>
      </c>
      <c r="B60" s="8" t="s">
        <v>50</v>
      </c>
      <c r="C60" s="8" t="s">
        <v>87</v>
      </c>
      <c r="D60" s="8" t="n">
        <v>1</v>
      </c>
      <c r="E60" s="12" t="n">
        <v>1.5</v>
      </c>
      <c r="F60" s="12" t="n">
        <f aca="false">D60*E60</f>
        <v>1.5</v>
      </c>
      <c r="G60" s="8" t="s">
        <v>88</v>
      </c>
      <c r="H60" s="8" t="n">
        <v>17</v>
      </c>
    </row>
    <row r="61" customFormat="false" ht="15" hidden="false" customHeight="true" outlineLevel="0" collapsed="false">
      <c r="A61" s="8" t="s">
        <v>107</v>
      </c>
      <c r="B61" s="8" t="s">
        <v>50</v>
      </c>
      <c r="C61" s="8" t="s">
        <v>78</v>
      </c>
      <c r="D61" s="8" t="n">
        <v>9</v>
      </c>
      <c r="E61" s="12" t="n">
        <v>1</v>
      </c>
      <c r="F61" s="12" t="n">
        <f aca="false">D61*E61</f>
        <v>9</v>
      </c>
      <c r="G61" s="8" t="s">
        <v>88</v>
      </c>
      <c r="H61" s="8" t="n">
        <v>17</v>
      </c>
    </row>
    <row r="62" customFormat="false" ht="15" hidden="false" customHeight="true" outlineLevel="0" collapsed="false">
      <c r="A62" s="8" t="s">
        <v>107</v>
      </c>
      <c r="B62" s="8" t="s">
        <v>50</v>
      </c>
      <c r="C62" s="8" t="s">
        <v>102</v>
      </c>
      <c r="D62" s="8" t="n">
        <v>1</v>
      </c>
      <c r="E62" s="12" t="n">
        <v>1</v>
      </c>
      <c r="F62" s="12" t="n">
        <f aca="false">D62*E62</f>
        <v>1</v>
      </c>
      <c r="G62" s="8" t="s">
        <v>88</v>
      </c>
      <c r="H62" s="8" t="n">
        <v>17</v>
      </c>
    </row>
    <row r="63" customFormat="false" ht="15" hidden="false" customHeight="true" outlineLevel="0" collapsed="false">
      <c r="A63" s="8" t="s">
        <v>107</v>
      </c>
      <c r="B63" s="8" t="s">
        <v>50</v>
      </c>
      <c r="C63" s="8" t="s">
        <v>91</v>
      </c>
      <c r="D63" s="8" t="n">
        <v>2</v>
      </c>
      <c r="E63" s="12" t="n">
        <v>2</v>
      </c>
      <c r="F63" s="12" t="n">
        <f aca="false">D63*E63</f>
        <v>4</v>
      </c>
      <c r="G63" s="8" t="s">
        <v>92</v>
      </c>
      <c r="H63" s="8" t="n">
        <v>17</v>
      </c>
    </row>
    <row r="64" customFormat="false" ht="15" hidden="false" customHeight="true" outlineLevel="0" collapsed="false">
      <c r="A64" s="8" t="s">
        <v>107</v>
      </c>
      <c r="B64" s="8" t="s">
        <v>50</v>
      </c>
      <c r="C64" s="8" t="s">
        <v>104</v>
      </c>
      <c r="D64" s="8" t="n">
        <v>2</v>
      </c>
      <c r="E64" s="12" t="n">
        <v>2</v>
      </c>
      <c r="F64" s="12" t="n">
        <f aca="false">D64*E64</f>
        <v>4</v>
      </c>
      <c r="G64" s="8" t="s">
        <v>92</v>
      </c>
      <c r="H64" s="8" t="n">
        <v>17</v>
      </c>
    </row>
    <row r="65" customFormat="false" ht="15" hidden="false" customHeight="true" outlineLevel="0" collapsed="false">
      <c r="A65" s="8" t="s">
        <v>108</v>
      </c>
      <c r="B65" s="8" t="s">
        <v>56</v>
      </c>
      <c r="C65" s="8" t="s">
        <v>94</v>
      </c>
      <c r="D65" s="8" t="n">
        <v>1</v>
      </c>
      <c r="E65" s="12" t="n">
        <v>2.5</v>
      </c>
      <c r="F65" s="12" t="n">
        <f aca="false">D65*E65</f>
        <v>2.5</v>
      </c>
      <c r="G65" s="8" t="s">
        <v>88</v>
      </c>
      <c r="H65" s="8" t="n">
        <v>17</v>
      </c>
    </row>
    <row r="66" customFormat="false" ht="15" hidden="false" customHeight="true" outlineLevel="0" collapsed="false">
      <c r="A66" s="8" t="s">
        <v>108</v>
      </c>
      <c r="B66" s="8" t="s">
        <v>56</v>
      </c>
      <c r="C66" s="8" t="s">
        <v>109</v>
      </c>
      <c r="D66" s="8" t="n">
        <v>1</v>
      </c>
      <c r="E66" s="12" t="n">
        <v>1.15</v>
      </c>
      <c r="F66" s="12" t="n">
        <f aca="false">D66*E66</f>
        <v>1.15</v>
      </c>
      <c r="G66" s="8" t="s">
        <v>88</v>
      </c>
      <c r="H66" s="8" t="n">
        <v>17</v>
      </c>
    </row>
    <row r="68" customFormat="false" ht="15" hidden="false" customHeight="true" outlineLevel="0" collapsed="false">
      <c r="A68" s="11" t="s">
        <v>110</v>
      </c>
    </row>
    <row r="69" customFormat="false" ht="30" hidden="false" customHeight="true" outlineLevel="0" collapsed="false">
      <c r="A69" s="7" t="s">
        <v>83</v>
      </c>
      <c r="B69" s="7" t="s">
        <v>32</v>
      </c>
      <c r="C69" s="7" t="s">
        <v>111</v>
      </c>
      <c r="D69" s="7"/>
      <c r="E69" s="7"/>
      <c r="F69" s="7"/>
      <c r="G69" s="7"/>
      <c r="H69" s="7"/>
    </row>
    <row r="70" customFormat="false" ht="15" hidden="false" customHeight="true" outlineLevel="0" collapsed="false">
      <c r="A70" s="8" t="s">
        <v>49</v>
      </c>
      <c r="B70" s="8" t="s">
        <v>50</v>
      </c>
      <c r="C70" s="12" t="n">
        <f aca="false">SUMIFS($F$5:$F$66,$A$5:$A$66,A70,$B$5:$B$66,B70,$G$5:$G$66,"Equipe referência")</f>
        <v>7.5</v>
      </c>
    </row>
    <row r="71" customFormat="false" ht="15" hidden="false" customHeight="true" outlineLevel="0" collapsed="false">
      <c r="A71" s="8" t="s">
        <v>49</v>
      </c>
      <c r="B71" s="8" t="s">
        <v>56</v>
      </c>
      <c r="C71" s="12" t="n">
        <f aca="false">SUMIFS($F$5:$F$66,$A$5:$A$66,A71,$B$5:$B$66,B71,$G$5:$G$66,"Equipe referência")</f>
        <v>4.15</v>
      </c>
    </row>
    <row r="72" customFormat="false" ht="15" hidden="false" customHeight="true" outlineLevel="0" collapsed="false">
      <c r="A72" s="8" t="s">
        <v>54</v>
      </c>
      <c r="B72" s="8" t="s">
        <v>50</v>
      </c>
      <c r="C72" s="12" t="n">
        <f aca="false">SUMIFS($F$5:$F$66,$A$5:$A$66,A72,$B$5:$B$66,B72,$G$5:$G$66,"Equipe referência")</f>
        <v>7.5</v>
      </c>
    </row>
    <row r="73" customFormat="false" ht="15" hidden="false" customHeight="true" outlineLevel="0" collapsed="false">
      <c r="A73" s="8" t="s">
        <v>54</v>
      </c>
      <c r="B73" s="8" t="s">
        <v>56</v>
      </c>
      <c r="C73" s="12" t="n">
        <f aca="false">SUMIFS($F$5:$F$66,$A$5:$A$66,A73,$B$5:$B$66,B73,$G$5:$G$66,"Equipe referência")</f>
        <v>4.15</v>
      </c>
    </row>
    <row r="74" customFormat="false" ht="15" hidden="false" customHeight="true" outlineLevel="0" collapsed="false">
      <c r="A74" s="8" t="s">
        <v>97</v>
      </c>
      <c r="B74" s="8" t="s">
        <v>50</v>
      </c>
      <c r="C74" s="12" t="n">
        <f aca="false">SUMIFS($F$5:$F$66,$A$5:$A$66,A74,$B$5:$B$66,B74,$G$5:$G$66,"Equipe referência")</f>
        <v>7.5</v>
      </c>
    </row>
    <row r="75" customFormat="false" ht="15" hidden="false" customHeight="true" outlineLevel="0" collapsed="false">
      <c r="A75" s="8" t="s">
        <v>97</v>
      </c>
      <c r="B75" s="8" t="s">
        <v>56</v>
      </c>
      <c r="C75" s="12" t="n">
        <f aca="false">SUMIFS($F$5:$F$66,$A$5:$A$66,A75,$B$5:$B$66,B75,$G$5:$G$66,"Equipe referência")</f>
        <v>3.75</v>
      </c>
    </row>
    <row r="76" customFormat="false" ht="15" hidden="false" customHeight="true" outlineLevel="0" collapsed="false">
      <c r="A76" s="8" t="s">
        <v>98</v>
      </c>
      <c r="B76" s="8" t="s">
        <v>50</v>
      </c>
      <c r="C76" s="12" t="n">
        <f aca="false">SUMIFS($F$5:$F$66,$A$5:$A$66,A76,$B$5:$B$66,B76,$G$5:$G$66,"Equipe referência")</f>
        <v>10.5</v>
      </c>
    </row>
    <row r="77" customFormat="false" ht="15" hidden="false" customHeight="true" outlineLevel="0" collapsed="false">
      <c r="A77" s="8" t="s">
        <v>98</v>
      </c>
      <c r="B77" s="8" t="s">
        <v>56</v>
      </c>
      <c r="C77" s="12" t="n">
        <f aca="false">SUMIFS($F$5:$F$66,$A$5:$A$66,A77,$B$5:$B$66,B77,$G$5:$G$66,"Equipe referência")</f>
        <v>5.3</v>
      </c>
    </row>
    <row r="78" customFormat="false" ht="15" hidden="false" customHeight="true" outlineLevel="0" collapsed="false">
      <c r="A78" s="8" t="s">
        <v>101</v>
      </c>
      <c r="B78" s="8" t="s">
        <v>50</v>
      </c>
      <c r="C78" s="12" t="n">
        <f aca="false">SUMIFS($F$5:$F$66,$A$5:$A$66,A78,$B$5:$B$66,B78,$G$5:$G$66,"Equipe referência")</f>
        <v>3.5</v>
      </c>
    </row>
    <row r="79" customFormat="false" ht="15" hidden="false" customHeight="true" outlineLevel="0" collapsed="false">
      <c r="A79" s="8" t="s">
        <v>103</v>
      </c>
      <c r="B79" s="8" t="s">
        <v>50</v>
      </c>
      <c r="C79" s="12" t="n">
        <f aca="false">SUMIFS($F$5:$F$66,$A$5:$A$66,A79,$B$5:$B$66,B79,$G$5:$G$66,"Equipe referência")</f>
        <v>3.5</v>
      </c>
    </row>
    <row r="80" customFormat="false" ht="15" hidden="false" customHeight="true" outlineLevel="0" collapsed="false">
      <c r="A80" s="8" t="s">
        <v>105</v>
      </c>
      <c r="B80" s="8" t="s">
        <v>50</v>
      </c>
      <c r="C80" s="12" t="n">
        <f aca="false">SUMIFS($F$5:$F$66,$A$5:$A$66,A80,$B$5:$B$66,B80,$G$5:$G$66,"Equipe referência")</f>
        <v>5.5</v>
      </c>
    </row>
    <row r="81" customFormat="false" ht="15" hidden="false" customHeight="true" outlineLevel="0" collapsed="false">
      <c r="A81" s="8" t="s">
        <v>106</v>
      </c>
      <c r="B81" s="8" t="s">
        <v>50</v>
      </c>
      <c r="C81" s="12" t="n">
        <f aca="false">SUMIFS($F$5:$F$66,$A$5:$A$66,A81,$B$5:$B$66,B81,$G$5:$G$66,"Equipe referência")</f>
        <v>7.5</v>
      </c>
    </row>
    <row r="82" customFormat="false" ht="15" hidden="false" customHeight="true" outlineLevel="0" collapsed="false">
      <c r="A82" s="8" t="s">
        <v>107</v>
      </c>
      <c r="B82" s="8" t="s">
        <v>50</v>
      </c>
      <c r="C82" s="12" t="n">
        <f aca="false">SUMIFS($F$5:$F$66,$A$5:$A$66,A82,$B$5:$B$66,B82,$G$5:$G$66,"Equipe referência")</f>
        <v>11.5</v>
      </c>
    </row>
    <row r="83" customFormat="false" ht="15" hidden="false" customHeight="true" outlineLevel="0" collapsed="false">
      <c r="A83" s="8" t="s">
        <v>108</v>
      </c>
      <c r="B83" s="8" t="s">
        <v>56</v>
      </c>
      <c r="C83" s="12" t="n">
        <f aca="false">SUMIFS($F$5:$F$66,$A$5:$A$66,A83,$B$5:$B$66,B83,$G$5:$G$66,"Equipe referência")</f>
        <v>3.65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34"/>
  </cols>
  <sheetData>
    <row r="1" customFormat="false" ht="15.75" hidden="false" customHeight="true" outlineLevel="0" collapsed="false">
      <c r="A1" s="5" t="s">
        <v>112</v>
      </c>
    </row>
    <row r="2" customFormat="false" ht="15" hidden="false" customHeight="true" outlineLevel="0" collapsed="false">
      <c r="A2" s="6" t="s">
        <v>113</v>
      </c>
    </row>
    <row r="4" customFormat="false" ht="30" hidden="false" customHeight="true" outlineLevel="0" collapsed="false">
      <c r="A4" s="7" t="s">
        <v>114</v>
      </c>
      <c r="B4" s="7" t="s">
        <v>115</v>
      </c>
      <c r="C4" s="7" t="s">
        <v>116</v>
      </c>
      <c r="D4" s="7" t="s">
        <v>117</v>
      </c>
      <c r="E4" s="7" t="s">
        <v>118</v>
      </c>
    </row>
    <row r="5" customFormat="false" ht="15" hidden="false" customHeight="true" outlineLevel="0" collapsed="false">
      <c r="A5" s="8" t="s">
        <v>119</v>
      </c>
      <c r="B5" s="8" t="s">
        <v>120</v>
      </c>
      <c r="C5" s="15" t="n">
        <v>0</v>
      </c>
      <c r="D5" s="16" t="n">
        <f aca="false">1+C5</f>
        <v>1</v>
      </c>
      <c r="E5" s="8" t="s">
        <v>121</v>
      </c>
    </row>
    <row r="6" customFormat="false" ht="15" hidden="false" customHeight="true" outlineLevel="0" collapsed="false">
      <c r="A6" s="8" t="s">
        <v>119</v>
      </c>
      <c r="B6" s="8" t="s">
        <v>122</v>
      </c>
      <c r="C6" s="15" t="n">
        <v>0.25</v>
      </c>
      <c r="D6" s="16" t="n">
        <f aca="false">1+C6</f>
        <v>1.25</v>
      </c>
      <c r="E6" s="8" t="s">
        <v>123</v>
      </c>
    </row>
    <row r="7" customFormat="false" ht="15" hidden="false" customHeight="true" outlineLevel="0" collapsed="false">
      <c r="A7" s="8" t="s">
        <v>124</v>
      </c>
      <c r="B7" s="8" t="s">
        <v>120</v>
      </c>
      <c r="C7" s="15" t="n">
        <v>0</v>
      </c>
      <c r="D7" s="16" t="n">
        <f aca="false">1+C7</f>
        <v>1</v>
      </c>
      <c r="E7" s="8" t="s">
        <v>125</v>
      </c>
    </row>
    <row r="8" customFormat="false" ht="15" hidden="false" customHeight="true" outlineLevel="0" collapsed="false">
      <c r="A8" s="8" t="s">
        <v>124</v>
      </c>
      <c r="B8" s="8" t="s">
        <v>126</v>
      </c>
      <c r="C8" s="15" t="n">
        <v>0.875</v>
      </c>
      <c r="D8" s="16" t="n">
        <f aca="false">1+C8</f>
        <v>1.875</v>
      </c>
      <c r="E8" s="8" t="s">
        <v>125</v>
      </c>
    </row>
    <row r="9" customFormat="false" ht="15" hidden="false" customHeight="true" outlineLevel="0" collapsed="false">
      <c r="A9" s="8" t="s">
        <v>127</v>
      </c>
      <c r="B9" s="8" t="s">
        <v>120</v>
      </c>
      <c r="C9" s="15" t="n">
        <v>0.875</v>
      </c>
      <c r="D9" s="16" t="n">
        <f aca="false">1+C9</f>
        <v>1.875</v>
      </c>
      <c r="E9" s="8" t="s">
        <v>128</v>
      </c>
    </row>
    <row r="10" customFormat="false" ht="15" hidden="false" customHeight="true" outlineLevel="0" collapsed="false">
      <c r="A10" s="8" t="s">
        <v>127</v>
      </c>
      <c r="B10" s="8" t="s">
        <v>126</v>
      </c>
      <c r="C10" s="15" t="n">
        <v>1.34375</v>
      </c>
      <c r="D10" s="16" t="n">
        <f aca="false">1+C10</f>
        <v>2.34375</v>
      </c>
      <c r="E10" s="8" t="s">
        <v>128</v>
      </c>
    </row>
    <row r="11" customFormat="false" ht="15" hidden="false" customHeight="true" outlineLevel="0" collapsed="false">
      <c r="A11" s="8" t="s">
        <v>129</v>
      </c>
      <c r="B11" s="8" t="s">
        <v>120</v>
      </c>
      <c r="C11" s="15" t="n">
        <v>1</v>
      </c>
      <c r="D11" s="16" t="n">
        <f aca="false">1+C11</f>
        <v>2</v>
      </c>
      <c r="E11" s="8" t="s">
        <v>130</v>
      </c>
    </row>
    <row r="12" customFormat="false" ht="15" hidden="false" customHeight="true" outlineLevel="0" collapsed="false">
      <c r="A12" s="8" t="s">
        <v>129</v>
      </c>
      <c r="B12" s="8" t="s">
        <v>126</v>
      </c>
      <c r="C12" s="15" t="n">
        <v>1.5</v>
      </c>
      <c r="D12" s="16" t="n">
        <f aca="false">1+C12</f>
        <v>2.5</v>
      </c>
      <c r="E12" s="8" t="s">
        <v>130</v>
      </c>
    </row>
    <row r="14" customFormat="false" ht="15" hidden="false" customHeight="true" outlineLevel="0" collapsed="false">
      <c r="A14" s="11" t="s">
        <v>131</v>
      </c>
    </row>
    <row r="15" customFormat="false" ht="15" hidden="false" customHeight="true" outlineLevel="0" collapsed="false">
      <c r="A15" s="6" t="s">
        <v>132</v>
      </c>
    </row>
    <row r="16" customFormat="false" ht="15" hidden="false" customHeight="true" outlineLevel="0" collapsed="false">
      <c r="A16" s="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52"/>
    <col collapsed="false" customWidth="true" hidden="false" outlineLevel="0" max="10" min="10" style="1" width="20"/>
    <col collapsed="false" customWidth="true" hidden="false" outlineLevel="0" max="11" min="11" style="1" width="34"/>
  </cols>
  <sheetData>
    <row r="1" customFormat="false" ht="15.75" hidden="false" customHeight="true" outlineLevel="0" collapsed="false">
      <c r="A1" s="5" t="s">
        <v>134</v>
      </c>
    </row>
    <row r="2" customFormat="false" ht="15" hidden="false" customHeight="true" outlineLevel="0" collapsed="false">
      <c r="A2" s="6" t="s">
        <v>135</v>
      </c>
    </row>
    <row r="4" customFormat="false" ht="30" hidden="false" customHeight="true" outlineLevel="0" collapsed="false">
      <c r="A4" s="7" t="s">
        <v>30</v>
      </c>
      <c r="B4" s="7" t="s">
        <v>31</v>
      </c>
      <c r="C4" s="7" t="s">
        <v>33</v>
      </c>
      <c r="D4" s="7" t="s">
        <v>32</v>
      </c>
      <c r="E4" s="7" t="s">
        <v>136</v>
      </c>
      <c r="F4" s="7" t="s">
        <v>137</v>
      </c>
      <c r="G4" s="7" t="s">
        <v>138</v>
      </c>
      <c r="H4" s="7" t="s">
        <v>139</v>
      </c>
      <c r="I4" s="7" t="s">
        <v>140</v>
      </c>
      <c r="J4" s="7" t="s">
        <v>141</v>
      </c>
      <c r="K4" s="7" t="s">
        <v>142</v>
      </c>
    </row>
    <row r="5" customFormat="false" ht="15" hidden="false" customHeight="true" outlineLevel="0" collapsed="false">
      <c r="A5" s="8" t="s">
        <v>48</v>
      </c>
      <c r="B5" s="8" t="s">
        <v>49</v>
      </c>
      <c r="C5" s="8" t="s">
        <v>51</v>
      </c>
      <c r="D5" s="8" t="s">
        <v>50</v>
      </c>
      <c r="E5" s="8" t="s">
        <v>143</v>
      </c>
      <c r="F5" s="12" t="n">
        <v>0.99</v>
      </c>
      <c r="G5" s="8" t="s">
        <v>144</v>
      </c>
      <c r="H5" s="12" t="n">
        <v>7.5</v>
      </c>
      <c r="I5" s="8" t="s">
        <v>145</v>
      </c>
      <c r="J5" s="12" t="n">
        <v>410.14</v>
      </c>
      <c r="K5" s="8" t="s">
        <v>146</v>
      </c>
    </row>
    <row r="6" customFormat="false" ht="15" hidden="false" customHeight="true" outlineLevel="0" collapsed="false">
      <c r="A6" s="8" t="s">
        <v>48</v>
      </c>
      <c r="B6" s="8" t="s">
        <v>49</v>
      </c>
      <c r="C6" s="8" t="s">
        <v>51</v>
      </c>
      <c r="D6" s="8" t="s">
        <v>56</v>
      </c>
      <c r="E6" s="8" t="s">
        <v>143</v>
      </c>
      <c r="F6" s="12" t="n">
        <v>3.01</v>
      </c>
      <c r="G6" s="17" t="s">
        <v>147</v>
      </c>
      <c r="H6" s="12" t="n">
        <v>4.15</v>
      </c>
      <c r="I6" s="8" t="s">
        <v>148</v>
      </c>
      <c r="J6" s="12" t="n">
        <v>410.14</v>
      </c>
      <c r="K6" s="8" t="s">
        <v>149</v>
      </c>
    </row>
    <row r="7" customFormat="false" ht="15" hidden="false" customHeight="true" outlineLevel="0" collapsed="false">
      <c r="A7" s="8" t="s">
        <v>53</v>
      </c>
      <c r="B7" s="8" t="s">
        <v>54</v>
      </c>
      <c r="C7" s="8" t="s">
        <v>51</v>
      </c>
      <c r="D7" s="8" t="s">
        <v>50</v>
      </c>
      <c r="E7" s="8" t="s">
        <v>143</v>
      </c>
      <c r="F7" s="12" t="n">
        <v>0.98</v>
      </c>
      <c r="G7" s="8" t="s">
        <v>144</v>
      </c>
      <c r="H7" s="12" t="n">
        <v>7.5</v>
      </c>
      <c r="I7" s="8" t="s">
        <v>150</v>
      </c>
      <c r="J7" s="12" t="n">
        <v>360.69</v>
      </c>
      <c r="K7" s="8" t="s">
        <v>151</v>
      </c>
    </row>
    <row r="8" customFormat="false" ht="15" hidden="false" customHeight="true" outlineLevel="0" collapsed="false">
      <c r="A8" s="8" t="s">
        <v>53</v>
      </c>
      <c r="B8" s="8" t="s">
        <v>54</v>
      </c>
      <c r="C8" s="8" t="s">
        <v>51</v>
      </c>
      <c r="D8" s="8" t="s">
        <v>56</v>
      </c>
      <c r="E8" s="8" t="s">
        <v>143</v>
      </c>
      <c r="F8" s="12" t="n">
        <v>4</v>
      </c>
      <c r="G8" s="17" t="s">
        <v>147</v>
      </c>
      <c r="H8" s="12" t="n">
        <v>4.15</v>
      </c>
      <c r="I8" s="8" t="s">
        <v>152</v>
      </c>
      <c r="J8" s="12" t="n">
        <v>360.68</v>
      </c>
      <c r="K8" s="8" t="s">
        <v>153</v>
      </c>
    </row>
    <row r="9" customFormat="false" ht="15" hidden="false" customHeight="true" outlineLevel="0" collapsed="false">
      <c r="A9" s="8" t="s">
        <v>53</v>
      </c>
      <c r="B9" s="8" t="s">
        <v>55</v>
      </c>
      <c r="C9" s="8" t="s">
        <v>51</v>
      </c>
      <c r="D9" s="8" t="s">
        <v>50</v>
      </c>
      <c r="E9" s="8" t="s">
        <v>143</v>
      </c>
      <c r="F9" s="12" t="n">
        <v>0.98</v>
      </c>
      <c r="G9" s="8" t="s">
        <v>144</v>
      </c>
      <c r="H9" s="12" t="n">
        <v>7.5</v>
      </c>
      <c r="I9" s="8" t="s">
        <v>150</v>
      </c>
      <c r="J9" s="12" t="n">
        <v>360.69</v>
      </c>
      <c r="K9" s="8" t="s">
        <v>151</v>
      </c>
    </row>
    <row r="10" customFormat="false" ht="15" hidden="false" customHeight="true" outlineLevel="0" collapsed="false">
      <c r="A10" s="8" t="s">
        <v>53</v>
      </c>
      <c r="B10" s="8" t="s">
        <v>55</v>
      </c>
      <c r="C10" s="8" t="s">
        <v>51</v>
      </c>
      <c r="D10" s="8" t="s">
        <v>56</v>
      </c>
      <c r="E10" s="8" t="s">
        <v>143</v>
      </c>
      <c r="F10" s="12" t="n">
        <v>4</v>
      </c>
      <c r="G10" s="17" t="s">
        <v>147</v>
      </c>
      <c r="H10" s="12" t="n">
        <v>3.75</v>
      </c>
      <c r="I10" s="8" t="s">
        <v>152</v>
      </c>
      <c r="J10" s="12" t="n">
        <v>360.68</v>
      </c>
      <c r="K10" s="8" t="s">
        <v>154</v>
      </c>
    </row>
    <row r="11" customFormat="false" ht="15" hidden="false" customHeight="true" outlineLevel="0" collapsed="false">
      <c r="A11" s="8" t="s">
        <v>58</v>
      </c>
      <c r="B11" s="8" t="s">
        <v>155</v>
      </c>
      <c r="C11" s="8" t="s">
        <v>60</v>
      </c>
      <c r="D11" s="8" t="s">
        <v>50</v>
      </c>
      <c r="E11" s="8" t="s">
        <v>143</v>
      </c>
      <c r="F11" s="12" t="n">
        <v>8.37</v>
      </c>
      <c r="G11" s="8" t="s">
        <v>144</v>
      </c>
      <c r="H11" s="12" t="n">
        <v>10.5</v>
      </c>
      <c r="I11" s="18" t="s">
        <v>156</v>
      </c>
      <c r="J11" s="12" t="n">
        <v>471.37</v>
      </c>
      <c r="K11" s="8" t="s">
        <v>151</v>
      </c>
    </row>
    <row r="12" customFormat="false" ht="15" hidden="false" customHeight="true" outlineLevel="0" collapsed="false">
      <c r="A12" s="8" t="s">
        <v>58</v>
      </c>
      <c r="B12" s="8" t="s">
        <v>157</v>
      </c>
      <c r="C12" s="8" t="s">
        <v>60</v>
      </c>
      <c r="D12" s="8" t="s">
        <v>50</v>
      </c>
      <c r="E12" s="8" t="s">
        <v>143</v>
      </c>
      <c r="F12" s="12" t="n">
        <v>8.89</v>
      </c>
      <c r="G12" s="8" t="s">
        <v>144</v>
      </c>
      <c r="H12" s="12" t="n">
        <v>10.5</v>
      </c>
      <c r="I12" s="18" t="s">
        <v>158</v>
      </c>
      <c r="J12" s="12" t="n">
        <v>471.37</v>
      </c>
      <c r="K12" s="8" t="s">
        <v>151</v>
      </c>
    </row>
    <row r="13" customFormat="false" ht="15" hidden="false" customHeight="true" outlineLevel="0" collapsed="false">
      <c r="A13" s="8" t="s">
        <v>58</v>
      </c>
      <c r="B13" s="8" t="s">
        <v>159</v>
      </c>
      <c r="C13" s="8" t="s">
        <v>63</v>
      </c>
      <c r="D13" s="8" t="s">
        <v>50</v>
      </c>
      <c r="E13" s="8" t="s">
        <v>143</v>
      </c>
      <c r="F13" s="12" t="n">
        <v>2.05</v>
      </c>
      <c r="G13" s="8" t="s">
        <v>144</v>
      </c>
      <c r="H13" s="12" t="n">
        <v>10.5</v>
      </c>
      <c r="I13" s="18" t="s">
        <v>160</v>
      </c>
      <c r="J13" s="12" t="n">
        <v>471.37</v>
      </c>
      <c r="K13" s="8" t="s">
        <v>161</v>
      </c>
    </row>
    <row r="14" customFormat="false" ht="15" hidden="false" customHeight="true" outlineLevel="0" collapsed="false">
      <c r="A14" s="8" t="s">
        <v>58</v>
      </c>
      <c r="B14" s="8" t="s">
        <v>155</v>
      </c>
      <c r="C14" s="8" t="s">
        <v>60</v>
      </c>
      <c r="D14" s="8" t="s">
        <v>56</v>
      </c>
      <c r="E14" s="8" t="s">
        <v>143</v>
      </c>
      <c r="F14" s="12" t="n">
        <v>34.46</v>
      </c>
      <c r="G14" s="17" t="s">
        <v>147</v>
      </c>
      <c r="H14" s="12" t="n">
        <v>5.3</v>
      </c>
      <c r="I14" s="8" t="s">
        <v>162</v>
      </c>
      <c r="J14" s="12" t="n">
        <v>424.18</v>
      </c>
      <c r="K14" s="8" t="s">
        <v>163</v>
      </c>
    </row>
    <row r="15" customFormat="false" ht="15" hidden="false" customHeight="true" outlineLevel="0" collapsed="false">
      <c r="A15" s="8" t="s">
        <v>58</v>
      </c>
      <c r="B15" s="8" t="s">
        <v>157</v>
      </c>
      <c r="C15" s="8" t="s">
        <v>60</v>
      </c>
      <c r="D15" s="8" t="s">
        <v>56</v>
      </c>
      <c r="E15" s="8" t="s">
        <v>143</v>
      </c>
      <c r="F15" s="12" t="n">
        <v>36.94</v>
      </c>
      <c r="G15" s="17" t="s">
        <v>147</v>
      </c>
      <c r="H15" s="12" t="n">
        <v>5.3</v>
      </c>
      <c r="I15" s="8" t="s">
        <v>164</v>
      </c>
      <c r="J15" s="12" t="n">
        <v>424.18</v>
      </c>
      <c r="K15" s="8" t="s">
        <v>163</v>
      </c>
    </row>
    <row r="16" customFormat="false" ht="15" hidden="false" customHeight="true" outlineLevel="0" collapsed="false">
      <c r="A16" s="8" t="s">
        <v>58</v>
      </c>
      <c r="B16" s="8" t="s">
        <v>159</v>
      </c>
      <c r="C16" s="8" t="s">
        <v>63</v>
      </c>
      <c r="D16" s="8" t="s">
        <v>56</v>
      </c>
      <c r="E16" s="8" t="s">
        <v>143</v>
      </c>
      <c r="F16" s="12" t="n">
        <v>1.94</v>
      </c>
      <c r="G16" s="17" t="s">
        <v>147</v>
      </c>
      <c r="H16" s="12" t="n">
        <v>5.3</v>
      </c>
      <c r="I16" s="8" t="s">
        <v>165</v>
      </c>
      <c r="J16" s="12" t="n">
        <v>424.18</v>
      </c>
      <c r="K16" s="8" t="s">
        <v>166</v>
      </c>
    </row>
    <row r="17" customFormat="false" ht="15" hidden="false" customHeight="true" outlineLevel="0" collapsed="false">
      <c r="A17" s="8" t="s">
        <v>64</v>
      </c>
      <c r="B17" s="8" t="s">
        <v>65</v>
      </c>
      <c r="C17" s="8" t="s">
        <v>66</v>
      </c>
      <c r="D17" s="8" t="s">
        <v>50</v>
      </c>
      <c r="E17" s="8" t="s">
        <v>67</v>
      </c>
      <c r="F17" s="12" t="n">
        <v>515.2</v>
      </c>
      <c r="G17" s="8" t="s">
        <v>144</v>
      </c>
      <c r="H17" s="12" t="n">
        <v>5.5</v>
      </c>
      <c r="I17" s="18" t="s">
        <v>167</v>
      </c>
      <c r="J17" s="12" t="n">
        <v>515.2</v>
      </c>
      <c r="K17" s="8" t="s">
        <v>168</v>
      </c>
    </row>
    <row r="18" customFormat="false" ht="15" hidden="false" customHeight="true" outlineLevel="0" collapsed="false">
      <c r="A18" s="8" t="s">
        <v>169</v>
      </c>
      <c r="B18" s="8" t="s">
        <v>170</v>
      </c>
      <c r="C18" s="8" t="s">
        <v>51</v>
      </c>
      <c r="D18" s="8" t="s">
        <v>50</v>
      </c>
      <c r="E18" s="8" t="s">
        <v>143</v>
      </c>
      <c r="F18" s="12" t="n">
        <v>0.48</v>
      </c>
      <c r="G18" s="8" t="s">
        <v>144</v>
      </c>
      <c r="H18" s="12" t="n">
        <v>3.5</v>
      </c>
      <c r="I18" s="8" t="s">
        <v>171</v>
      </c>
      <c r="J18" s="12" t="n">
        <v>306.97</v>
      </c>
      <c r="K18" s="8" t="s">
        <v>172</v>
      </c>
    </row>
    <row r="19" customFormat="false" ht="15" hidden="false" customHeight="true" outlineLevel="0" collapsed="false">
      <c r="A19" s="8" t="s">
        <v>173</v>
      </c>
      <c r="B19" s="8" t="s">
        <v>174</v>
      </c>
      <c r="C19" s="8" t="s">
        <v>51</v>
      </c>
      <c r="D19" s="8" t="s">
        <v>50</v>
      </c>
      <c r="E19" s="8" t="s">
        <v>143</v>
      </c>
      <c r="F19" s="12" t="n">
        <v>0.48</v>
      </c>
      <c r="G19" s="8" t="s">
        <v>144</v>
      </c>
      <c r="H19" s="12" t="n">
        <v>3.5</v>
      </c>
      <c r="I19" s="8" t="s">
        <v>171</v>
      </c>
      <c r="J19" s="12" t="n">
        <v>306.97</v>
      </c>
      <c r="K19" s="8" t="s">
        <v>172</v>
      </c>
    </row>
    <row r="20" customFormat="false" ht="15" hidden="false" customHeight="true" outlineLevel="0" collapsed="false">
      <c r="A20" s="8" t="s">
        <v>175</v>
      </c>
      <c r="B20" s="8" t="s">
        <v>176</v>
      </c>
      <c r="C20" s="8" t="s">
        <v>51</v>
      </c>
      <c r="D20" s="8" t="s">
        <v>50</v>
      </c>
      <c r="E20" s="8" t="s">
        <v>143</v>
      </c>
      <c r="F20" s="12" t="n">
        <v>0.48</v>
      </c>
      <c r="G20" s="8" t="s">
        <v>144</v>
      </c>
      <c r="H20" s="12" t="n">
        <v>5.5</v>
      </c>
      <c r="I20" s="8" t="s">
        <v>177</v>
      </c>
      <c r="J20" s="12" t="n">
        <v>306.97</v>
      </c>
      <c r="K20" s="8" t="s">
        <v>172</v>
      </c>
    </row>
    <row r="21" customFormat="false" ht="15" hidden="false" customHeight="true" outlineLevel="0" collapsed="false">
      <c r="A21" s="8" t="s">
        <v>178</v>
      </c>
      <c r="B21" s="8" t="s">
        <v>179</v>
      </c>
      <c r="C21" s="8" t="s">
        <v>51</v>
      </c>
      <c r="D21" s="8" t="s">
        <v>50</v>
      </c>
      <c r="E21" s="8" t="s">
        <v>143</v>
      </c>
      <c r="F21" s="12" t="n">
        <v>0.48</v>
      </c>
      <c r="G21" s="8" t="s">
        <v>144</v>
      </c>
      <c r="H21" s="12" t="n">
        <v>7.5</v>
      </c>
      <c r="I21" s="8" t="s">
        <v>180</v>
      </c>
      <c r="J21" s="12" t="n">
        <v>306.97</v>
      </c>
      <c r="K21" s="8" t="s">
        <v>172</v>
      </c>
    </row>
    <row r="22" customFormat="false" ht="15" hidden="false" customHeight="true" outlineLevel="0" collapsed="false">
      <c r="A22" s="8" t="s">
        <v>181</v>
      </c>
      <c r="B22" s="8" t="s">
        <v>182</v>
      </c>
      <c r="C22" s="8" t="s">
        <v>51</v>
      </c>
      <c r="D22" s="8" t="s">
        <v>50</v>
      </c>
      <c r="E22" s="8" t="s">
        <v>143</v>
      </c>
      <c r="F22" s="12" t="n">
        <v>0.48</v>
      </c>
      <c r="G22" s="8" t="s">
        <v>144</v>
      </c>
      <c r="H22" s="12" t="n">
        <v>11.5</v>
      </c>
      <c r="I22" s="8" t="s">
        <v>183</v>
      </c>
      <c r="J22" s="12" t="n">
        <v>306.97</v>
      </c>
      <c r="K22" s="8" t="s">
        <v>172</v>
      </c>
    </row>
    <row r="23" customFormat="false" ht="15" hidden="false" customHeight="true" outlineLevel="0" collapsed="false">
      <c r="A23" s="8" t="s">
        <v>68</v>
      </c>
      <c r="B23" s="8" t="s">
        <v>184</v>
      </c>
      <c r="C23" s="8" t="s">
        <v>51</v>
      </c>
      <c r="D23" s="8" t="s">
        <v>56</v>
      </c>
      <c r="E23" s="8" t="s">
        <v>143</v>
      </c>
      <c r="F23" s="12" t="n">
        <v>0.48</v>
      </c>
      <c r="G23" s="17" t="s">
        <v>147</v>
      </c>
      <c r="H23" s="12" t="n">
        <v>3.65</v>
      </c>
      <c r="I23" s="8" t="s">
        <v>185</v>
      </c>
      <c r="J23" s="12" t="n">
        <v>306.97</v>
      </c>
      <c r="K23" s="8" t="s">
        <v>186</v>
      </c>
    </row>
    <row r="25" customFormat="false" ht="15" hidden="false" customHeight="true" outlineLevel="0" collapsed="false">
      <c r="A25" s="6" t="s">
        <v>187</v>
      </c>
    </row>
    <row r="26" customFormat="false" ht="15" hidden="false" customHeight="true" outlineLevel="0" collapsed="false">
      <c r="A26" s="6" t="s">
        <v>188</v>
      </c>
    </row>
    <row r="27" customFormat="false" ht="15" hidden="false" customHeight="true" outlineLevel="0" collapsed="false">
      <c r="A27" s="6" t="s">
        <v>189</v>
      </c>
    </row>
    <row r="28" customFormat="false" ht="15" hidden="false" customHeight="true" outlineLevel="0" collapsed="false">
      <c r="A28" s="6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52"/>
    <col collapsed="false" customWidth="true" hidden="false" outlineLevel="0" max="4" min="4" style="1" width="44"/>
    <col collapsed="false" customWidth="true" hidden="false" outlineLevel="0" max="5" min="5" style="1" width="46"/>
  </cols>
  <sheetData>
    <row r="1" customFormat="false" ht="15.75" hidden="false" customHeight="true" outlineLevel="0" collapsed="false">
      <c r="A1" s="5" t="s">
        <v>191</v>
      </c>
    </row>
    <row r="3" customFormat="false" ht="30" hidden="false" customHeight="true" outlineLevel="0" collapsed="false">
      <c r="A3" s="7" t="s">
        <v>192</v>
      </c>
      <c r="B3" s="7" t="s">
        <v>193</v>
      </c>
      <c r="C3" s="7" t="s">
        <v>194</v>
      </c>
      <c r="D3" s="7" t="s">
        <v>195</v>
      </c>
      <c r="E3" s="7" t="s">
        <v>196</v>
      </c>
    </row>
    <row r="4" customFormat="false" ht="75.75" hidden="false" customHeight="true" outlineLevel="0" collapsed="false">
      <c r="A4" s="19" t="n">
        <v>1</v>
      </c>
      <c r="B4" s="19" t="s">
        <v>197</v>
      </c>
      <c r="C4" s="19" t="s">
        <v>198</v>
      </c>
      <c r="D4" s="19" t="s">
        <v>199</v>
      </c>
      <c r="E4" s="19" t="s">
        <v>200</v>
      </c>
    </row>
    <row r="5" customFormat="false" ht="75.75" hidden="false" customHeight="true" outlineLevel="0" collapsed="false">
      <c r="A5" s="19" t="n">
        <v>2</v>
      </c>
      <c r="B5" s="19" t="s">
        <v>201</v>
      </c>
      <c r="C5" s="19" t="s">
        <v>202</v>
      </c>
      <c r="D5" s="19" t="s">
        <v>203</v>
      </c>
      <c r="E5" s="19" t="s">
        <v>204</v>
      </c>
    </row>
    <row r="6" customFormat="false" ht="75.75" hidden="false" customHeight="true" outlineLevel="0" collapsed="false">
      <c r="A6" s="19" t="n">
        <v>3</v>
      </c>
      <c r="B6" s="19" t="s">
        <v>205</v>
      </c>
      <c r="C6" s="19" t="s">
        <v>206</v>
      </c>
      <c r="D6" s="19" t="s">
        <v>207</v>
      </c>
      <c r="E6" s="19" t="s">
        <v>208</v>
      </c>
    </row>
    <row r="7" customFormat="false" ht="75.75" hidden="false" customHeight="true" outlineLevel="0" collapsed="false">
      <c r="A7" s="19" t="n">
        <v>4</v>
      </c>
      <c r="B7" s="19" t="s">
        <v>209</v>
      </c>
      <c r="C7" s="19" t="s">
        <v>210</v>
      </c>
      <c r="D7" s="19" t="s">
        <v>211</v>
      </c>
      <c r="E7" s="19" t="s">
        <v>212</v>
      </c>
    </row>
    <row r="8" customFormat="false" ht="75.75" hidden="false" customHeight="true" outlineLevel="0" collapsed="false">
      <c r="A8" s="19" t="n">
        <v>5</v>
      </c>
      <c r="B8" s="19" t="s">
        <v>213</v>
      </c>
      <c r="C8" s="19" t="s">
        <v>214</v>
      </c>
      <c r="D8" s="19" t="s">
        <v>215</v>
      </c>
      <c r="E8" s="19" t="s">
        <v>216</v>
      </c>
    </row>
    <row r="9" customFormat="false" ht="75.75" hidden="false" customHeight="true" outlineLevel="0" collapsed="false">
      <c r="A9" s="19" t="n">
        <v>6</v>
      </c>
      <c r="B9" s="19" t="s">
        <v>217</v>
      </c>
      <c r="C9" s="19" t="s">
        <v>218</v>
      </c>
      <c r="D9" s="19" t="s">
        <v>219</v>
      </c>
      <c r="E9" s="19" t="s">
        <v>220</v>
      </c>
    </row>
    <row r="10" customFormat="false" ht="75.75" hidden="false" customHeight="true" outlineLevel="0" collapsed="false">
      <c r="A10" s="19" t="n">
        <v>7</v>
      </c>
      <c r="B10" s="19" t="s">
        <v>221</v>
      </c>
      <c r="C10" s="19" t="s">
        <v>222</v>
      </c>
      <c r="D10" s="19" t="s">
        <v>223</v>
      </c>
      <c r="E10" s="19" t="s">
        <v>224</v>
      </c>
    </row>
    <row r="11" customFormat="false" ht="75.75" hidden="false" customHeight="true" outlineLevel="0" collapsed="false">
      <c r="A11" s="19" t="n">
        <v>8</v>
      </c>
      <c r="B11" s="19" t="s">
        <v>225</v>
      </c>
      <c r="C11" s="19" t="s">
        <v>226</v>
      </c>
      <c r="D11" s="19" t="s">
        <v>227</v>
      </c>
      <c r="E11" s="19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2026-09-04T19:14:23Z</dcterms:created>
  <dc:creator>openpyxl</dc:creator>
  <dc:description/>
  <dc:language>en-US</dc:language>
  <cp:lastModifiedBy/>
  <dcterms:modified xsi:type="dcterms:W3CDTF">2026-09-04T19:27:12Z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